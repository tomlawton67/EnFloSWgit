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90" yWindow="1290" windowWidth="15795" windowHeight="11280"/>
  </bookViews>
  <sheets>
    <sheet name="Pressure_Station" sheetId="1" r:id="rId1"/>
  </sheets>
  <definedNames>
    <definedName name="_xlnm.Print_Area" localSheetId="0">Pressure_Station!$K$207:$T$239</definedName>
  </definedNames>
  <calcPr calcId="145621"/>
</workbook>
</file>

<file path=xl/calcChain.xml><?xml version="1.0" encoding="utf-8"?>
<calcChain xmlns="http://schemas.openxmlformats.org/spreadsheetml/2006/main">
  <c r="E233" i="1" l="1"/>
  <c r="E234" i="1"/>
  <c r="E235" i="1"/>
  <c r="E236" i="1"/>
  <c r="E237" i="1"/>
  <c r="E238" i="1"/>
  <c r="E239" i="1"/>
  <c r="H239" i="1" s="1"/>
  <c r="E232" i="1"/>
  <c r="D232" i="1"/>
  <c r="E209" i="1"/>
  <c r="E210" i="1"/>
  <c r="E211" i="1"/>
  <c r="E212" i="1"/>
  <c r="E213" i="1"/>
  <c r="E214" i="1"/>
  <c r="H214" i="1" s="1"/>
  <c r="E215" i="1"/>
  <c r="H215" i="1" s="1"/>
  <c r="E216" i="1"/>
  <c r="E217" i="1"/>
  <c r="E218" i="1"/>
  <c r="E219" i="1"/>
  <c r="E220" i="1"/>
  <c r="E221" i="1"/>
  <c r="E222" i="1"/>
  <c r="H222" i="1" s="1"/>
  <c r="E223" i="1"/>
  <c r="H223" i="1" s="1"/>
  <c r="E224" i="1"/>
  <c r="E225" i="1"/>
  <c r="E226" i="1"/>
  <c r="E227" i="1"/>
  <c r="E228" i="1"/>
  <c r="E229" i="1"/>
  <c r="E208" i="1"/>
  <c r="H208" i="1" s="1"/>
  <c r="E108" i="1"/>
  <c r="H108" i="1" s="1"/>
  <c r="E109" i="1"/>
  <c r="E110" i="1"/>
  <c r="E111" i="1"/>
  <c r="E112" i="1"/>
  <c r="E113" i="1"/>
  <c r="E114" i="1"/>
  <c r="E115" i="1"/>
  <c r="H115" i="1" s="1"/>
  <c r="E116" i="1"/>
  <c r="H116" i="1" s="1"/>
  <c r="E117" i="1"/>
  <c r="E118" i="1"/>
  <c r="E119" i="1"/>
  <c r="E120" i="1"/>
  <c r="E121" i="1"/>
  <c r="E122" i="1"/>
  <c r="E123" i="1"/>
  <c r="H123" i="1" s="1"/>
  <c r="E124" i="1"/>
  <c r="H124" i="1" s="1"/>
  <c r="E125" i="1"/>
  <c r="E126" i="1"/>
  <c r="E127" i="1"/>
  <c r="E128" i="1"/>
  <c r="E129" i="1"/>
  <c r="E130" i="1"/>
  <c r="E131" i="1"/>
  <c r="H131" i="1" s="1"/>
  <c r="E132" i="1"/>
  <c r="H132" i="1" s="1"/>
  <c r="E133" i="1"/>
  <c r="E134" i="1"/>
  <c r="E135" i="1"/>
  <c r="E136" i="1"/>
  <c r="E137" i="1"/>
  <c r="E138" i="1"/>
  <c r="E139" i="1"/>
  <c r="H139" i="1" s="1"/>
  <c r="E140" i="1"/>
  <c r="H140" i="1" s="1"/>
  <c r="E141" i="1"/>
  <c r="E142" i="1"/>
  <c r="E143" i="1"/>
  <c r="E144" i="1"/>
  <c r="E145" i="1"/>
  <c r="E146" i="1"/>
  <c r="E147" i="1"/>
  <c r="H147" i="1" s="1"/>
  <c r="E148" i="1"/>
  <c r="H148" i="1" s="1"/>
  <c r="E149" i="1"/>
  <c r="E150" i="1"/>
  <c r="E151" i="1"/>
  <c r="E152" i="1"/>
  <c r="E153" i="1"/>
  <c r="E154" i="1"/>
  <c r="E155" i="1"/>
  <c r="H155" i="1" s="1"/>
  <c r="E156" i="1"/>
  <c r="H156" i="1" s="1"/>
  <c r="E157" i="1"/>
  <c r="E158" i="1"/>
  <c r="E159" i="1"/>
  <c r="E160" i="1"/>
  <c r="E161" i="1"/>
  <c r="E162" i="1"/>
  <c r="E163" i="1"/>
  <c r="H163" i="1" s="1"/>
  <c r="E164" i="1"/>
  <c r="H164" i="1" s="1"/>
  <c r="E165" i="1"/>
  <c r="E166" i="1"/>
  <c r="E167" i="1"/>
  <c r="E168" i="1"/>
  <c r="E169" i="1"/>
  <c r="E170" i="1"/>
  <c r="E171" i="1"/>
  <c r="H171" i="1" s="1"/>
  <c r="E172" i="1"/>
  <c r="H172" i="1" s="1"/>
  <c r="E173" i="1"/>
  <c r="E174" i="1"/>
  <c r="E175" i="1"/>
  <c r="E176" i="1"/>
  <c r="E177" i="1"/>
  <c r="E178" i="1"/>
  <c r="E179" i="1"/>
  <c r="H179" i="1" s="1"/>
  <c r="E180" i="1"/>
  <c r="H180" i="1" s="1"/>
  <c r="E181" i="1"/>
  <c r="E182" i="1"/>
  <c r="E183" i="1"/>
  <c r="E184" i="1"/>
  <c r="E185" i="1"/>
  <c r="E186" i="1"/>
  <c r="E187" i="1"/>
  <c r="H187" i="1" s="1"/>
  <c r="E188" i="1"/>
  <c r="H188" i="1" s="1"/>
  <c r="E189" i="1"/>
  <c r="E190" i="1"/>
  <c r="E191" i="1"/>
  <c r="E192" i="1"/>
  <c r="E193" i="1"/>
  <c r="E194" i="1"/>
  <c r="E195" i="1"/>
  <c r="H195" i="1" s="1"/>
  <c r="E196" i="1"/>
  <c r="H196" i="1" s="1"/>
  <c r="E197" i="1"/>
  <c r="E198" i="1"/>
  <c r="E199" i="1"/>
  <c r="E200" i="1"/>
  <c r="E201" i="1"/>
  <c r="E202" i="1"/>
  <c r="E203" i="1"/>
  <c r="H203" i="1" s="1"/>
  <c r="E204" i="1"/>
  <c r="H204" i="1" s="1"/>
  <c r="E205" i="1"/>
  <c r="E107" i="1"/>
  <c r="E7" i="1"/>
  <c r="E8" i="1"/>
  <c r="E9" i="1"/>
  <c r="E10" i="1"/>
  <c r="E11" i="1"/>
  <c r="H11" i="1" s="1"/>
  <c r="E12" i="1"/>
  <c r="H12" i="1" s="1"/>
  <c r="E13" i="1"/>
  <c r="E14" i="1"/>
  <c r="E15" i="1"/>
  <c r="E16" i="1"/>
  <c r="E17" i="1"/>
  <c r="E18" i="1"/>
  <c r="E19" i="1"/>
  <c r="H19" i="1" s="1"/>
  <c r="E20" i="1"/>
  <c r="H20" i="1" s="1"/>
  <c r="E21" i="1"/>
  <c r="E22" i="1"/>
  <c r="E23" i="1"/>
  <c r="E24" i="1"/>
  <c r="E25" i="1"/>
  <c r="E26" i="1"/>
  <c r="E27" i="1"/>
  <c r="H27" i="1" s="1"/>
  <c r="E28" i="1"/>
  <c r="H28" i="1" s="1"/>
  <c r="E29" i="1"/>
  <c r="E30" i="1"/>
  <c r="E31" i="1"/>
  <c r="E32" i="1"/>
  <c r="E33" i="1"/>
  <c r="E34" i="1"/>
  <c r="E35" i="1"/>
  <c r="H35" i="1" s="1"/>
  <c r="E36" i="1"/>
  <c r="H36" i="1" s="1"/>
  <c r="E37" i="1"/>
  <c r="E38" i="1"/>
  <c r="E39" i="1"/>
  <c r="E40" i="1"/>
  <c r="E41" i="1"/>
  <c r="E42" i="1"/>
  <c r="E43" i="1"/>
  <c r="H43" i="1" s="1"/>
  <c r="E44" i="1"/>
  <c r="H44" i="1" s="1"/>
  <c r="E45" i="1"/>
  <c r="E46" i="1"/>
  <c r="E47" i="1"/>
  <c r="E48" i="1"/>
  <c r="E49" i="1"/>
  <c r="E50" i="1"/>
  <c r="E51" i="1"/>
  <c r="H51" i="1" s="1"/>
  <c r="E52" i="1"/>
  <c r="H52" i="1" s="1"/>
  <c r="E53" i="1"/>
  <c r="E54" i="1"/>
  <c r="E55" i="1"/>
  <c r="E56" i="1"/>
  <c r="E57" i="1"/>
  <c r="E58" i="1"/>
  <c r="H58" i="1" s="1"/>
  <c r="E59" i="1"/>
  <c r="H59" i="1" s="1"/>
  <c r="E60" i="1"/>
  <c r="H60" i="1" s="1"/>
  <c r="E61" i="1"/>
  <c r="E62" i="1"/>
  <c r="E63" i="1"/>
  <c r="E64" i="1"/>
  <c r="E65" i="1"/>
  <c r="E66" i="1"/>
  <c r="H66" i="1" s="1"/>
  <c r="E67" i="1"/>
  <c r="H67" i="1" s="1"/>
  <c r="E68" i="1"/>
  <c r="H68" i="1" s="1"/>
  <c r="E69" i="1"/>
  <c r="E70" i="1"/>
  <c r="E71" i="1"/>
  <c r="E72" i="1"/>
  <c r="E73" i="1"/>
  <c r="E74" i="1"/>
  <c r="H74" i="1" s="1"/>
  <c r="E75" i="1"/>
  <c r="H75" i="1" s="1"/>
  <c r="E76" i="1"/>
  <c r="H76" i="1" s="1"/>
  <c r="E77" i="1"/>
  <c r="E78" i="1"/>
  <c r="E79" i="1"/>
  <c r="E80" i="1"/>
  <c r="E81" i="1"/>
  <c r="E82" i="1"/>
  <c r="H82" i="1" s="1"/>
  <c r="E83" i="1"/>
  <c r="H83" i="1" s="1"/>
  <c r="E84" i="1"/>
  <c r="H84" i="1" s="1"/>
  <c r="E85" i="1"/>
  <c r="E86" i="1"/>
  <c r="E87" i="1"/>
  <c r="E88" i="1"/>
  <c r="E89" i="1"/>
  <c r="E90" i="1"/>
  <c r="H90" i="1" s="1"/>
  <c r="E91" i="1"/>
  <c r="H91" i="1" s="1"/>
  <c r="E92" i="1"/>
  <c r="H92" i="1" s="1"/>
  <c r="E93" i="1"/>
  <c r="E94" i="1"/>
  <c r="E95" i="1"/>
  <c r="E96" i="1"/>
  <c r="E97" i="1"/>
  <c r="E98" i="1"/>
  <c r="H98" i="1" s="1"/>
  <c r="E99" i="1"/>
  <c r="H99" i="1" s="1"/>
  <c r="E100" i="1"/>
  <c r="H100" i="1" s="1"/>
  <c r="E101" i="1"/>
  <c r="E102" i="1"/>
  <c r="E103" i="1"/>
  <c r="H103" i="1" s="1"/>
  <c r="E104" i="1"/>
  <c r="E6" i="1"/>
  <c r="D233" i="1"/>
  <c r="G233" i="1" s="1"/>
  <c r="D234" i="1"/>
  <c r="G234" i="1" s="1"/>
  <c r="D235" i="1"/>
  <c r="G235" i="1" s="1"/>
  <c r="D236" i="1"/>
  <c r="D237" i="1"/>
  <c r="D238" i="1"/>
  <c r="G238" i="1" s="1"/>
  <c r="D239" i="1"/>
  <c r="D209" i="1"/>
  <c r="D210" i="1"/>
  <c r="G210" i="1" s="1"/>
  <c r="D211" i="1"/>
  <c r="G211" i="1" s="1"/>
  <c r="D212" i="1"/>
  <c r="D213" i="1"/>
  <c r="D214" i="1"/>
  <c r="D215" i="1"/>
  <c r="G215" i="1" s="1"/>
  <c r="D216" i="1"/>
  <c r="D217" i="1"/>
  <c r="D218" i="1"/>
  <c r="G218" i="1" s="1"/>
  <c r="D219" i="1"/>
  <c r="G219" i="1" s="1"/>
  <c r="D220" i="1"/>
  <c r="D221" i="1"/>
  <c r="D222" i="1"/>
  <c r="D223" i="1"/>
  <c r="G223" i="1" s="1"/>
  <c r="D224" i="1"/>
  <c r="D225" i="1"/>
  <c r="D226" i="1"/>
  <c r="G226" i="1" s="1"/>
  <c r="D227" i="1"/>
  <c r="G227" i="1" s="1"/>
  <c r="D228" i="1"/>
  <c r="D229" i="1"/>
  <c r="D208" i="1"/>
  <c r="D108" i="1"/>
  <c r="G108" i="1" s="1"/>
  <c r="D109" i="1"/>
  <c r="D110" i="1"/>
  <c r="D111" i="1"/>
  <c r="G111" i="1" s="1"/>
  <c r="D112" i="1"/>
  <c r="G112" i="1" s="1"/>
  <c r="D113" i="1"/>
  <c r="D114" i="1"/>
  <c r="D115" i="1"/>
  <c r="D116" i="1"/>
  <c r="G116" i="1" s="1"/>
  <c r="D117" i="1"/>
  <c r="D118" i="1"/>
  <c r="D119" i="1"/>
  <c r="G119" i="1" s="1"/>
  <c r="D120" i="1"/>
  <c r="G120" i="1" s="1"/>
  <c r="D121" i="1"/>
  <c r="D122" i="1"/>
  <c r="D123" i="1"/>
  <c r="D124" i="1"/>
  <c r="G124" i="1" s="1"/>
  <c r="D125" i="1"/>
  <c r="D126" i="1"/>
  <c r="D127" i="1"/>
  <c r="G127" i="1" s="1"/>
  <c r="D128" i="1"/>
  <c r="G128" i="1" s="1"/>
  <c r="D129" i="1"/>
  <c r="D130" i="1"/>
  <c r="D131" i="1"/>
  <c r="D132" i="1"/>
  <c r="G132" i="1" s="1"/>
  <c r="D133" i="1"/>
  <c r="D134" i="1"/>
  <c r="D135" i="1"/>
  <c r="G135" i="1" s="1"/>
  <c r="D136" i="1"/>
  <c r="G136" i="1" s="1"/>
  <c r="D137" i="1"/>
  <c r="D138" i="1"/>
  <c r="D139" i="1"/>
  <c r="D140" i="1"/>
  <c r="G140" i="1" s="1"/>
  <c r="D141" i="1"/>
  <c r="D142" i="1"/>
  <c r="D143" i="1"/>
  <c r="G143" i="1" s="1"/>
  <c r="D144" i="1"/>
  <c r="G144" i="1" s="1"/>
  <c r="D145" i="1"/>
  <c r="D146" i="1"/>
  <c r="D147" i="1"/>
  <c r="D148" i="1"/>
  <c r="G148" i="1" s="1"/>
  <c r="D149" i="1"/>
  <c r="D150" i="1"/>
  <c r="D151" i="1"/>
  <c r="G151" i="1" s="1"/>
  <c r="D152" i="1"/>
  <c r="G152" i="1" s="1"/>
  <c r="D153" i="1"/>
  <c r="D154" i="1"/>
  <c r="D155" i="1"/>
  <c r="D156" i="1"/>
  <c r="G156" i="1" s="1"/>
  <c r="D157" i="1"/>
  <c r="D158" i="1"/>
  <c r="D159" i="1"/>
  <c r="G159" i="1" s="1"/>
  <c r="D160" i="1"/>
  <c r="G160" i="1" s="1"/>
  <c r="D161" i="1"/>
  <c r="D162" i="1"/>
  <c r="D163" i="1"/>
  <c r="D164" i="1"/>
  <c r="G164" i="1" s="1"/>
  <c r="D165" i="1"/>
  <c r="D166" i="1"/>
  <c r="D167" i="1"/>
  <c r="G167" i="1" s="1"/>
  <c r="D168" i="1"/>
  <c r="G168" i="1" s="1"/>
  <c r="D169" i="1"/>
  <c r="D170" i="1"/>
  <c r="D171" i="1"/>
  <c r="D172" i="1"/>
  <c r="G172" i="1" s="1"/>
  <c r="D173" i="1"/>
  <c r="D174" i="1"/>
  <c r="D175" i="1"/>
  <c r="G175" i="1" s="1"/>
  <c r="D176" i="1"/>
  <c r="G176" i="1" s="1"/>
  <c r="D177" i="1"/>
  <c r="D178" i="1"/>
  <c r="D179" i="1"/>
  <c r="D180" i="1"/>
  <c r="G180" i="1" s="1"/>
  <c r="D181" i="1"/>
  <c r="D182" i="1"/>
  <c r="D183" i="1"/>
  <c r="G183" i="1" s="1"/>
  <c r="D184" i="1"/>
  <c r="G184" i="1" s="1"/>
  <c r="D185" i="1"/>
  <c r="D186" i="1"/>
  <c r="D187" i="1"/>
  <c r="G187" i="1" s="1"/>
  <c r="D188" i="1"/>
  <c r="G188" i="1" s="1"/>
  <c r="D189" i="1"/>
  <c r="D190" i="1"/>
  <c r="D191" i="1"/>
  <c r="G191" i="1" s="1"/>
  <c r="D192" i="1"/>
  <c r="G192" i="1" s="1"/>
  <c r="D193" i="1"/>
  <c r="D194" i="1"/>
  <c r="D195" i="1"/>
  <c r="G195" i="1" s="1"/>
  <c r="D196" i="1"/>
  <c r="G196" i="1" s="1"/>
  <c r="D197" i="1"/>
  <c r="D198" i="1"/>
  <c r="D199" i="1"/>
  <c r="G199" i="1" s="1"/>
  <c r="D200" i="1"/>
  <c r="G200" i="1" s="1"/>
  <c r="D201" i="1"/>
  <c r="D202" i="1"/>
  <c r="D203" i="1"/>
  <c r="G203" i="1" s="1"/>
  <c r="D204" i="1"/>
  <c r="G204" i="1" s="1"/>
  <c r="D205" i="1"/>
  <c r="H2" i="1" s="1"/>
  <c r="D107" i="1"/>
  <c r="G107" i="1" s="1"/>
  <c r="D7" i="1"/>
  <c r="G7" i="1" s="1"/>
  <c r="D8" i="1"/>
  <c r="G8" i="1" s="1"/>
  <c r="D9" i="1"/>
  <c r="D10" i="1"/>
  <c r="D11" i="1"/>
  <c r="G11" i="1" s="1"/>
  <c r="D12" i="1"/>
  <c r="G12" i="1" s="1"/>
  <c r="D13" i="1"/>
  <c r="G13" i="1" s="1"/>
  <c r="D14" i="1"/>
  <c r="G14" i="1" s="1"/>
  <c r="D15" i="1"/>
  <c r="G15" i="1" s="1"/>
  <c r="D16" i="1"/>
  <c r="G16" i="1" s="1"/>
  <c r="D17" i="1"/>
  <c r="D18" i="1"/>
  <c r="D19" i="1"/>
  <c r="G19" i="1" s="1"/>
  <c r="D20" i="1"/>
  <c r="G20" i="1" s="1"/>
  <c r="D21" i="1"/>
  <c r="G21" i="1" s="1"/>
  <c r="D22" i="1"/>
  <c r="G22" i="1" s="1"/>
  <c r="D23" i="1"/>
  <c r="G23" i="1" s="1"/>
  <c r="D24" i="1"/>
  <c r="G24" i="1" s="1"/>
  <c r="D25" i="1"/>
  <c r="D26" i="1"/>
  <c r="D27" i="1"/>
  <c r="G27" i="1" s="1"/>
  <c r="D28" i="1"/>
  <c r="G28" i="1" s="1"/>
  <c r="D29" i="1"/>
  <c r="G29" i="1" s="1"/>
  <c r="D30" i="1"/>
  <c r="G30" i="1" s="1"/>
  <c r="D31" i="1"/>
  <c r="G31" i="1" s="1"/>
  <c r="D32" i="1"/>
  <c r="G32" i="1" s="1"/>
  <c r="D33" i="1"/>
  <c r="D34" i="1"/>
  <c r="D35" i="1"/>
  <c r="G35" i="1" s="1"/>
  <c r="D36" i="1"/>
  <c r="G36" i="1" s="1"/>
  <c r="D37" i="1"/>
  <c r="G37" i="1" s="1"/>
  <c r="D38" i="1"/>
  <c r="G38" i="1" s="1"/>
  <c r="D39" i="1"/>
  <c r="G39" i="1" s="1"/>
  <c r="D40" i="1"/>
  <c r="G40" i="1" s="1"/>
  <c r="D41" i="1"/>
  <c r="D42" i="1"/>
  <c r="D43" i="1"/>
  <c r="G43" i="1" s="1"/>
  <c r="D44" i="1"/>
  <c r="G44" i="1" s="1"/>
  <c r="D45" i="1"/>
  <c r="G45" i="1" s="1"/>
  <c r="D46" i="1"/>
  <c r="G46" i="1" s="1"/>
  <c r="D47" i="1"/>
  <c r="G47" i="1" s="1"/>
  <c r="D48" i="1"/>
  <c r="G48" i="1" s="1"/>
  <c r="D49" i="1"/>
  <c r="D50" i="1"/>
  <c r="D51" i="1"/>
  <c r="G51" i="1" s="1"/>
  <c r="D52" i="1"/>
  <c r="G52" i="1" s="1"/>
  <c r="D53" i="1"/>
  <c r="G53" i="1" s="1"/>
  <c r="D54" i="1"/>
  <c r="G54" i="1" s="1"/>
  <c r="D55" i="1"/>
  <c r="G55" i="1" s="1"/>
  <c r="D56" i="1"/>
  <c r="G56" i="1" s="1"/>
  <c r="D57" i="1"/>
  <c r="D58" i="1"/>
  <c r="D59" i="1"/>
  <c r="G59" i="1" s="1"/>
  <c r="D60" i="1"/>
  <c r="G60" i="1" s="1"/>
  <c r="D61" i="1"/>
  <c r="G61" i="1" s="1"/>
  <c r="D62" i="1"/>
  <c r="G62" i="1" s="1"/>
  <c r="D63" i="1"/>
  <c r="G63" i="1" s="1"/>
  <c r="D64" i="1"/>
  <c r="G64" i="1" s="1"/>
  <c r="D65" i="1"/>
  <c r="D66" i="1"/>
  <c r="D67" i="1"/>
  <c r="G67" i="1" s="1"/>
  <c r="D68" i="1"/>
  <c r="G68" i="1" s="1"/>
  <c r="D69" i="1"/>
  <c r="G69" i="1" s="1"/>
  <c r="D70" i="1"/>
  <c r="G70" i="1" s="1"/>
  <c r="D71" i="1"/>
  <c r="G71" i="1" s="1"/>
  <c r="D72" i="1"/>
  <c r="G72" i="1" s="1"/>
  <c r="D73" i="1"/>
  <c r="D74" i="1"/>
  <c r="D75" i="1"/>
  <c r="G75" i="1" s="1"/>
  <c r="D76" i="1"/>
  <c r="G76" i="1" s="1"/>
  <c r="D77" i="1"/>
  <c r="G77" i="1" s="1"/>
  <c r="D78" i="1"/>
  <c r="G78" i="1" s="1"/>
  <c r="D79" i="1"/>
  <c r="G79" i="1" s="1"/>
  <c r="D80" i="1"/>
  <c r="G80" i="1" s="1"/>
  <c r="D81" i="1"/>
  <c r="D82" i="1"/>
  <c r="D83" i="1"/>
  <c r="G83" i="1" s="1"/>
  <c r="D84" i="1"/>
  <c r="G84" i="1" s="1"/>
  <c r="D85" i="1"/>
  <c r="G85" i="1" s="1"/>
  <c r="D86" i="1"/>
  <c r="G86" i="1" s="1"/>
  <c r="D87" i="1"/>
  <c r="G87" i="1" s="1"/>
  <c r="D88" i="1"/>
  <c r="G88" i="1" s="1"/>
  <c r="D89" i="1"/>
  <c r="D90" i="1"/>
  <c r="D91" i="1"/>
  <c r="G91" i="1" s="1"/>
  <c r="D92" i="1"/>
  <c r="G92" i="1" s="1"/>
  <c r="D93" i="1"/>
  <c r="G93" i="1" s="1"/>
  <c r="D94" i="1"/>
  <c r="G94" i="1" s="1"/>
  <c r="D95" i="1"/>
  <c r="G95" i="1" s="1"/>
  <c r="D96" i="1"/>
  <c r="G96" i="1" s="1"/>
  <c r="D97" i="1"/>
  <c r="D98" i="1"/>
  <c r="D99" i="1"/>
  <c r="G99" i="1" s="1"/>
  <c r="D100" i="1"/>
  <c r="G100" i="1" s="1"/>
  <c r="D101" i="1"/>
  <c r="G101" i="1" s="1"/>
  <c r="D102" i="1"/>
  <c r="G102" i="1" s="1"/>
  <c r="D103" i="1"/>
  <c r="G103" i="1" s="1"/>
  <c r="D104" i="1"/>
  <c r="G104" i="1" s="1"/>
  <c r="D6" i="1"/>
  <c r="H50" i="1" l="1"/>
  <c r="H42" i="1"/>
  <c r="H34" i="1"/>
  <c r="H26" i="1"/>
  <c r="H18" i="1"/>
  <c r="H10" i="1"/>
  <c r="H202" i="1"/>
  <c r="H194" i="1"/>
  <c r="H186" i="1"/>
  <c r="H178" i="1"/>
  <c r="H170" i="1"/>
  <c r="H162" i="1"/>
  <c r="H154" i="1"/>
  <c r="H146" i="1"/>
  <c r="H138" i="1"/>
  <c r="H130" i="1"/>
  <c r="H122" i="1"/>
  <c r="H114" i="1"/>
  <c r="H229" i="1"/>
  <c r="H221" i="1"/>
  <c r="H213" i="1"/>
  <c r="H238" i="1"/>
  <c r="G198" i="1"/>
  <c r="G190" i="1"/>
  <c r="G182" i="1"/>
  <c r="G174" i="1"/>
  <c r="G166" i="1"/>
  <c r="G158" i="1"/>
  <c r="G150" i="1"/>
  <c r="G142" i="1"/>
  <c r="G134" i="1"/>
  <c r="G126" i="1"/>
  <c r="G118" i="1"/>
  <c r="G110" i="1"/>
  <c r="G225" i="1"/>
  <c r="G217" i="1"/>
  <c r="G209" i="1"/>
  <c r="H6" i="1"/>
  <c r="H97" i="1"/>
  <c r="H89" i="1"/>
  <c r="H81" i="1"/>
  <c r="H73" i="1"/>
  <c r="H65" i="1"/>
  <c r="H57" i="1"/>
  <c r="H49" i="1"/>
  <c r="H41" i="1"/>
  <c r="H33" i="1"/>
  <c r="H25" i="1"/>
  <c r="H17" i="1"/>
  <c r="H9" i="1"/>
  <c r="H237" i="1"/>
  <c r="G224" i="1"/>
  <c r="G185" i="1"/>
  <c r="G232" i="1"/>
  <c r="H228" i="1"/>
  <c r="H113" i="1"/>
  <c r="H121" i="1"/>
  <c r="H129" i="1"/>
  <c r="H145" i="1"/>
  <c r="H165" i="1"/>
  <c r="H177" i="1"/>
  <c r="H197" i="1"/>
  <c r="G17" i="1"/>
  <c r="G57" i="1"/>
  <c r="G89" i="1"/>
  <c r="G212" i="1"/>
  <c r="G205" i="1"/>
  <c r="H220" i="1"/>
  <c r="H153" i="1"/>
  <c r="H189" i="1"/>
  <c r="G9" i="1"/>
  <c r="G73" i="1"/>
  <c r="G220" i="1"/>
  <c r="G228" i="1"/>
  <c r="G113" i="1"/>
  <c r="G117" i="1"/>
  <c r="G125" i="1"/>
  <c r="G133" i="1"/>
  <c r="G141" i="1"/>
  <c r="G149" i="1"/>
  <c r="G157" i="1"/>
  <c r="G165" i="1"/>
  <c r="G173" i="1"/>
  <c r="G181" i="1"/>
  <c r="G197" i="1"/>
  <c r="H224" i="1"/>
  <c r="H133" i="1"/>
  <c r="H157" i="1"/>
  <c r="H181" i="1"/>
  <c r="H205" i="1"/>
  <c r="G41" i="1"/>
  <c r="G97" i="1"/>
  <c r="H232" i="1"/>
  <c r="G201" i="1"/>
  <c r="H212" i="1"/>
  <c r="H161" i="1"/>
  <c r="H201" i="1"/>
  <c r="G25" i="1"/>
  <c r="G81" i="1"/>
  <c r="G216" i="1"/>
  <c r="G193" i="1"/>
  <c r="H236" i="1"/>
  <c r="H109" i="1"/>
  <c r="H117" i="1"/>
  <c r="H125" i="1"/>
  <c r="H137" i="1"/>
  <c r="H149" i="1"/>
  <c r="H169" i="1"/>
  <c r="H185" i="1"/>
  <c r="G33" i="1"/>
  <c r="G65" i="1"/>
  <c r="G236" i="1"/>
  <c r="G109" i="1"/>
  <c r="G121" i="1"/>
  <c r="G129" i="1"/>
  <c r="G137" i="1"/>
  <c r="G145" i="1"/>
  <c r="G153" i="1"/>
  <c r="G161" i="1"/>
  <c r="G169" i="1"/>
  <c r="G177" i="1"/>
  <c r="G189" i="1"/>
  <c r="H216" i="1"/>
  <c r="H141" i="1"/>
  <c r="H173" i="1"/>
  <c r="H193" i="1"/>
  <c r="G49" i="1"/>
  <c r="G6" i="1"/>
  <c r="G239" i="1"/>
  <c r="H104" i="1"/>
  <c r="H96" i="1"/>
  <c r="H88" i="1"/>
  <c r="H80" i="1"/>
  <c r="H72" i="1"/>
  <c r="H64" i="1"/>
  <c r="H56" i="1"/>
  <c r="H48" i="1"/>
  <c r="H40" i="1"/>
  <c r="H32" i="1"/>
  <c r="H24" i="1"/>
  <c r="H16" i="1"/>
  <c r="H8" i="1"/>
  <c r="H200" i="1"/>
  <c r="H192" i="1"/>
  <c r="H184" i="1"/>
  <c r="H176" i="1"/>
  <c r="H168" i="1"/>
  <c r="H160" i="1"/>
  <c r="H152" i="1"/>
  <c r="H144" i="1"/>
  <c r="H136" i="1"/>
  <c r="H128" i="1"/>
  <c r="H120" i="1"/>
  <c r="H112" i="1"/>
  <c r="H227" i="1"/>
  <c r="H219" i="1"/>
  <c r="H211" i="1"/>
  <c r="H95" i="1"/>
  <c r="H87" i="1"/>
  <c r="H79" i="1"/>
  <c r="H71" i="1"/>
  <c r="H63" i="1"/>
  <c r="H55" i="1"/>
  <c r="H47" i="1"/>
  <c r="H39" i="1"/>
  <c r="H31" i="1"/>
  <c r="H23" i="1"/>
  <c r="H15" i="1"/>
  <c r="H7" i="1"/>
  <c r="H199" i="1"/>
  <c r="H191" i="1"/>
  <c r="H183" i="1"/>
  <c r="H175" i="1"/>
  <c r="H167" i="1"/>
  <c r="H159" i="1"/>
  <c r="H151" i="1"/>
  <c r="H143" i="1"/>
  <c r="H135" i="1"/>
  <c r="H127" i="1"/>
  <c r="H119" i="1"/>
  <c r="H111" i="1"/>
  <c r="H226" i="1"/>
  <c r="H218" i="1"/>
  <c r="H210" i="1"/>
  <c r="H235" i="1"/>
  <c r="G179" i="1"/>
  <c r="G171" i="1"/>
  <c r="G163" i="1"/>
  <c r="G155" i="1"/>
  <c r="G147" i="1"/>
  <c r="G139" i="1"/>
  <c r="G131" i="1"/>
  <c r="G123" i="1"/>
  <c r="G115" i="1"/>
  <c r="G208" i="1"/>
  <c r="G222" i="1"/>
  <c r="G214" i="1"/>
  <c r="G237" i="1"/>
  <c r="H102" i="1"/>
  <c r="H94" i="1"/>
  <c r="H86" i="1"/>
  <c r="H78" i="1"/>
  <c r="H70" i="1"/>
  <c r="H62" i="1"/>
  <c r="H54" i="1"/>
  <c r="H46" i="1"/>
  <c r="H38" i="1"/>
  <c r="H30" i="1"/>
  <c r="H22" i="1"/>
  <c r="H14" i="1"/>
  <c r="H107" i="1"/>
  <c r="H198" i="1"/>
  <c r="H190" i="1"/>
  <c r="H182" i="1"/>
  <c r="H174" i="1"/>
  <c r="H166" i="1"/>
  <c r="H158" i="1"/>
  <c r="H150" i="1"/>
  <c r="H142" i="1"/>
  <c r="H134" i="1"/>
  <c r="H126" i="1"/>
  <c r="H118" i="1"/>
  <c r="H110" i="1"/>
  <c r="H225" i="1"/>
  <c r="H217" i="1"/>
  <c r="H209" i="1"/>
  <c r="H234" i="1"/>
  <c r="G98" i="1"/>
  <c r="G90" i="1"/>
  <c r="G82" i="1"/>
  <c r="G74" i="1"/>
  <c r="G66" i="1"/>
  <c r="G58" i="1"/>
  <c r="G50" i="1"/>
  <c r="G42" i="1"/>
  <c r="G34" i="1"/>
  <c r="G26" i="1"/>
  <c r="G18" i="1"/>
  <c r="G10" i="1"/>
  <c r="G202" i="1"/>
  <c r="G194" i="1"/>
  <c r="G186" i="1"/>
  <c r="G178" i="1"/>
  <c r="G170" i="1"/>
  <c r="G162" i="1"/>
  <c r="G154" i="1"/>
  <c r="G146" i="1"/>
  <c r="G138" i="1"/>
  <c r="G130" i="1"/>
  <c r="G122" i="1"/>
  <c r="G114" i="1"/>
  <c r="G229" i="1"/>
  <c r="G221" i="1"/>
  <c r="G213" i="1"/>
  <c r="H101" i="1"/>
  <c r="H93" i="1"/>
  <c r="H85" i="1"/>
  <c r="H77" i="1"/>
  <c r="H69" i="1"/>
  <c r="H61" i="1"/>
  <c r="H53" i="1"/>
  <c r="H45" i="1"/>
  <c r="H37" i="1"/>
  <c r="H29" i="1"/>
  <c r="H21" i="1"/>
  <c r="H13" i="1"/>
  <c r="H233" i="1"/>
</calcChain>
</file>

<file path=xl/sharedStrings.xml><?xml version="1.0" encoding="utf-8"?>
<sst xmlns="http://schemas.openxmlformats.org/spreadsheetml/2006/main" count="42" uniqueCount="16">
  <si>
    <t>X</t>
  </si>
  <si>
    <t>Z</t>
  </si>
  <si>
    <t>MainWing Shape</t>
  </si>
  <si>
    <t>Flap Shape</t>
  </si>
  <si>
    <t>MainWing Pressure Taps</t>
  </si>
  <si>
    <t>Flap Pressure Taps</t>
  </si>
  <si>
    <t>X_Trans</t>
  </si>
  <si>
    <t>Z_Trans</t>
  </si>
  <si>
    <t>(3.165491, 0.6426523)</t>
  </si>
  <si>
    <t>Shift Origin to Main Wing Leading Edge</t>
  </si>
  <si>
    <t>Global Coordinates</t>
  </si>
  <si>
    <t>X/C</t>
  </si>
  <si>
    <t>Z/C</t>
  </si>
  <si>
    <t>Non-dimensional length C=</t>
  </si>
  <si>
    <t>Non-dimensionalise (X/C from 0.0 to 1.0)</t>
  </si>
  <si>
    <t>Tube Label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</si>
</sst>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0"/>
      <color theme="1"/>
      <name val="Times New Roman"/>
      <family val="2"/>
    </font>
    <font>
      <sz val="10"/>
      <color theme="1"/>
      <name val="Times New Roman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Times New Roman"/>
      <family val="2"/>
    </font>
    <font>
      <b/>
      <sz val="13"/>
      <color theme="3"/>
      <name val="Times New Roman"/>
      <family val="2"/>
    </font>
    <font>
      <b/>
      <sz val="11"/>
      <color theme="3"/>
      <name val="Times New Roman"/>
      <family val="2"/>
    </font>
    <font>
      <sz val="10"/>
      <color rgb="FF006100"/>
      <name val="Times New Roman"/>
      <family val="2"/>
    </font>
    <font>
      <sz val="10"/>
      <color rgb="FF9C0006"/>
      <name val="Times New Roman"/>
      <family val="2"/>
    </font>
    <font>
      <sz val="10"/>
      <color rgb="FF9C6500"/>
      <name val="Times New Roman"/>
      <family val="2"/>
    </font>
    <font>
      <sz val="10"/>
      <color rgb="FF3F3F76"/>
      <name val="Times New Roman"/>
      <family val="2"/>
    </font>
    <font>
      <b/>
      <sz val="10"/>
      <color rgb="FF3F3F3F"/>
      <name val="Times New Roman"/>
      <family val="2"/>
    </font>
    <font>
      <b/>
      <sz val="10"/>
      <color rgb="FFFA7D00"/>
      <name val="Times New Roman"/>
      <family val="2"/>
    </font>
    <font>
      <sz val="10"/>
      <color rgb="FFFA7D00"/>
      <name val="Times New Roman"/>
      <family val="2"/>
    </font>
    <font>
      <b/>
      <sz val="10"/>
      <color theme="0"/>
      <name val="Times New Roman"/>
      <family val="2"/>
    </font>
    <font>
      <sz val="10"/>
      <color rgb="FFFF0000"/>
      <name val="Times New Roman"/>
      <family val="2"/>
    </font>
    <font>
      <i/>
      <sz val="10"/>
      <color rgb="FF7F7F7F"/>
      <name val="Times New Roman"/>
      <family val="2"/>
    </font>
    <font>
      <b/>
      <sz val="10"/>
      <color theme="1"/>
      <name val="Times New Roman"/>
      <family val="2"/>
    </font>
    <font>
      <sz val="10"/>
      <color theme="0"/>
      <name val="Times New Roman"/>
      <family val="2"/>
    </font>
    <font>
      <b/>
      <sz val="10"/>
      <color rgb="FFFF0000"/>
      <name val="Times New Roman"/>
      <family val="1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">
    <xf numFmtId="0" fontId="0" fillId="0" borderId="0" xfId="0"/>
    <xf numFmtId="0" fontId="0" fillId="0" borderId="0" xfId="0" applyNumberFormat="1"/>
    <xf numFmtId="0" fontId="18" fillId="0" borderId="0" xfId="0" applyNumberFormat="1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Pressure_Station!$G$4</c:f>
              <c:strCache>
                <c:ptCount val="1"/>
                <c:pt idx="0">
                  <c:v>MainWing Shape</c:v>
                </c:pt>
              </c:strCache>
            </c:strRef>
          </c:tx>
          <c:marker>
            <c:symbol val="none"/>
          </c:marker>
          <c:xVal>
            <c:numRef>
              <c:f>Pressure_Station!$G$6:$G$104</c:f>
              <c:numCache>
                <c:formatCode>General</c:formatCode>
                <c:ptCount val="99"/>
                <c:pt idx="0">
                  <c:v>0.94693438622502102</c:v>
                </c:pt>
                <c:pt idx="1">
                  <c:v>0.93010381503552275</c:v>
                </c:pt>
                <c:pt idx="2">
                  <c:v>0.9105720803413202</c:v>
                </c:pt>
                <c:pt idx="3">
                  <c:v>0.88848235335291026</c:v>
                </c:pt>
                <c:pt idx="4">
                  <c:v>0.86405734484217811</c:v>
                </c:pt>
                <c:pt idx="5">
                  <c:v>0.83761521305466979</c:v>
                </c:pt>
                <c:pt idx="6">
                  <c:v>0.80954092946749867</c:v>
                </c:pt>
                <c:pt idx="7">
                  <c:v>0.78024491821742281</c:v>
                </c:pt>
                <c:pt idx="8">
                  <c:v>0.75011215078155546</c:v>
                </c:pt>
                <c:pt idx="9">
                  <c:v>0.71947033015281203</c:v>
                </c:pt>
                <c:pt idx="10">
                  <c:v>0.68859307242236123</c:v>
                </c:pt>
                <c:pt idx="11">
                  <c:v>0.6576808172849008</c:v>
                </c:pt>
                <c:pt idx="12">
                  <c:v>0.62690855177548266</c:v>
                </c:pt>
                <c:pt idx="13">
                  <c:v>0.59639399444495655</c:v>
                </c:pt>
                <c:pt idx="14">
                  <c:v>0.56624213751435659</c:v>
                </c:pt>
                <c:pt idx="15">
                  <c:v>0.53652297579770181</c:v>
                </c:pt>
                <c:pt idx="16">
                  <c:v>0.50729695936164787</c:v>
                </c:pt>
                <c:pt idx="17">
                  <c:v>0.47860544877811317</c:v>
                </c:pt>
                <c:pt idx="18">
                  <c:v>0.45049298620147665</c:v>
                </c:pt>
                <c:pt idx="19">
                  <c:v>0.42299138745629317</c:v>
                </c:pt>
                <c:pt idx="20">
                  <c:v>0.39612928678466192</c:v>
                </c:pt>
                <c:pt idx="21">
                  <c:v>0.36993531842868055</c:v>
                </c:pt>
                <c:pt idx="22">
                  <c:v>0.34443493504799505</c:v>
                </c:pt>
                <c:pt idx="23">
                  <c:v>0.31965040771979264</c:v>
                </c:pt>
                <c:pt idx="24">
                  <c:v>0.29560718910371658</c:v>
                </c:pt>
                <c:pt idx="25">
                  <c:v>0.27233709502432324</c:v>
                </c:pt>
                <c:pt idx="26">
                  <c:v>0.24987512288862221</c:v>
                </c:pt>
                <c:pt idx="27">
                  <c:v>0.22824990693871394</c:v>
                </c:pt>
                <c:pt idx="28">
                  <c:v>0.20749962616406251</c:v>
                </c:pt>
                <c:pt idx="29">
                  <c:v>0.18764018847694475</c:v>
                </c:pt>
                <c:pt idx="30">
                  <c:v>0.16869068337209617</c:v>
                </c:pt>
                <c:pt idx="31">
                  <c:v>0.15065111084951541</c:v>
                </c:pt>
                <c:pt idx="32">
                  <c:v>0.13351828932674509</c:v>
                </c:pt>
                <c:pt idx="33">
                  <c:v>0.11728903722133355</c:v>
                </c:pt>
                <c:pt idx="34">
                  <c:v>0.1019697176981898</c:v>
                </c:pt>
                <c:pt idx="35">
                  <c:v>8.7576238669590648E-2</c:v>
                </c:pt>
                <c:pt idx="36">
                  <c:v>7.4092692223257886E-2</c:v>
                </c:pt>
                <c:pt idx="37">
                  <c:v>6.1474536204818422E-2</c:v>
                </c:pt>
                <c:pt idx="38">
                  <c:v>4.9721770614268017E-2</c:v>
                </c:pt>
                <c:pt idx="39">
                  <c:v>3.8856666528798163E-2</c:v>
                </c:pt>
                <c:pt idx="40">
                  <c:v>2.8901495025596108E-2</c:v>
                </c:pt>
                <c:pt idx="41">
                  <c:v>2.0072603711635169E-2</c:v>
                </c:pt>
                <c:pt idx="42">
                  <c:v>1.2713603492105954E-2</c:v>
                </c:pt>
                <c:pt idx="43">
                  <c:v>7.1012920406359108E-3</c:v>
                </c:pt>
                <c:pt idx="44">
                  <c:v>3.3565694905332891E-3</c:v>
                </c:pt>
                <c:pt idx="45">
                  <c:v>1.3139935541139341E-3</c:v>
                </c:pt>
                <c:pt idx="46">
                  <c:v>4.008793893916257E-4</c:v>
                </c:pt>
                <c:pt idx="47">
                  <c:v>7.6357978932343757E-5</c:v>
                </c:pt>
                <c:pt idx="48">
                  <c:v>6.3631649118528417E-6</c:v>
                </c:pt>
                <c:pt idx="49">
                  <c:v>0</c:v>
                </c:pt>
                <c:pt idx="50">
                  <c:v>6.3631649118528417E-6</c:v>
                </c:pt>
                <c:pt idx="51">
                  <c:v>8.2721143842783695E-5</c:v>
                </c:pt>
                <c:pt idx="52">
                  <c:v>4.0724255430206561E-4</c:v>
                </c:pt>
                <c:pt idx="53">
                  <c:v>1.2567250699157359E-3</c:v>
                </c:pt>
                <c:pt idx="54">
                  <c:v>2.9875059256981016E-3</c:v>
                </c:pt>
                <c:pt idx="55">
                  <c:v>5.9431960268397652E-3</c:v>
                </c:pt>
                <c:pt idx="56">
                  <c:v>1.0279692913661339E-2</c:v>
                </c:pt>
                <c:pt idx="57">
                  <c:v>1.5879278035309089E-2</c:v>
                </c:pt>
                <c:pt idx="58">
                  <c:v>2.2611506511108402E-2</c:v>
                </c:pt>
                <c:pt idx="59">
                  <c:v>3.0552736319991617E-2</c:v>
                </c:pt>
                <c:pt idx="60">
                  <c:v>3.9868409749641474E-2</c:v>
                </c:pt>
                <c:pt idx="61">
                  <c:v>5.0568071547427172E-2</c:v>
                </c:pt>
                <c:pt idx="62">
                  <c:v>6.2527639997583123E-2</c:v>
                </c:pt>
                <c:pt idx="63">
                  <c:v>7.5654849208900171E-2</c:v>
                </c:pt>
                <c:pt idx="64">
                  <c:v>8.9949699181379725E-2</c:v>
                </c:pt>
                <c:pt idx="65">
                  <c:v>0.10543446099220904</c:v>
                </c:pt>
                <c:pt idx="66">
                  <c:v>0.12207731881683309</c:v>
                </c:pt>
                <c:pt idx="67">
                  <c:v>0.13982418575351102</c:v>
                </c:pt>
                <c:pt idx="68">
                  <c:v>0.15861461173558586</c:v>
                </c:pt>
                <c:pt idx="69">
                  <c:v>0.17840405460868175</c:v>
                </c:pt>
                <c:pt idx="70">
                  <c:v>0.19915751696578909</c:v>
                </c:pt>
                <c:pt idx="71">
                  <c:v>0.22085590931217378</c:v>
                </c:pt>
                <c:pt idx="72">
                  <c:v>0.24347059740573809</c:v>
                </c:pt>
                <c:pt idx="73">
                  <c:v>0.26697931016929199</c:v>
                </c:pt>
                <c:pt idx="74">
                  <c:v>0.29135341336073778</c:v>
                </c:pt>
                <c:pt idx="75">
                  <c:v>0.31656745432043087</c:v>
                </c:pt>
                <c:pt idx="76">
                  <c:v>0.34258007247644851</c:v>
                </c:pt>
                <c:pt idx="77">
                  <c:v>0.36934672567441607</c:v>
                </c:pt>
                <c:pt idx="78">
                  <c:v>0.3968228717599564</c:v>
                </c:pt>
                <c:pt idx="79">
                  <c:v>0.42495760541378158</c:v>
                </c:pt>
                <c:pt idx="80">
                  <c:v>0.45370002131660259</c:v>
                </c:pt>
                <c:pt idx="81">
                  <c:v>0.48299285098422251</c:v>
                </c:pt>
                <c:pt idx="82">
                  <c:v>0.51276928118507548</c:v>
                </c:pt>
                <c:pt idx="83">
                  <c:v>0.54296568027005276</c:v>
                </c:pt>
                <c:pt idx="84">
                  <c:v>0.5735025086777662</c:v>
                </c:pt>
                <c:pt idx="85">
                  <c:v>0.6042938636819184</c:v>
                </c:pt>
                <c:pt idx="86">
                  <c:v>0.63524429780884428</c:v>
                </c:pt>
                <c:pt idx="87">
                  <c:v>0.66623291092523562</c:v>
                </c:pt>
                <c:pt idx="88">
                  <c:v>0.69712607656796333</c:v>
                </c:pt>
                <c:pt idx="89">
                  <c:v>0.72775198928442997</c:v>
                </c:pt>
                <c:pt idx="90">
                  <c:v>0.75791339096239629</c:v>
                </c:pt>
                <c:pt idx="91">
                  <c:v>0.78737484450015782</c:v>
                </c:pt>
                <c:pt idx="92">
                  <c:v>0.81586909697145182</c:v>
                </c:pt>
                <c:pt idx="93">
                  <c:v>0.84310344279037563</c:v>
                </c:pt>
                <c:pt idx="94">
                  <c:v>0.86878199478856755</c:v>
                </c:pt>
                <c:pt idx="95">
                  <c:v>0.89261841054503666</c:v>
                </c:pt>
                <c:pt idx="96">
                  <c:v>0.91438043454053142</c:v>
                </c:pt>
                <c:pt idx="97">
                  <c:v>0.9339185323996444</c:v>
                </c:pt>
                <c:pt idx="98">
                  <c:v>0.95117225405572159</c:v>
                </c:pt>
              </c:numCache>
            </c:numRef>
          </c:xVal>
          <c:yVal>
            <c:numRef>
              <c:f>Pressure_Station!$H$6:$H$104</c:f>
              <c:numCache>
                <c:formatCode>General</c:formatCode>
                <c:ptCount val="99"/>
                <c:pt idx="0">
                  <c:v>0.14574097464596936</c:v>
                </c:pt>
                <c:pt idx="1">
                  <c:v>0.11708318883646344</c:v>
                </c:pt>
                <c:pt idx="2">
                  <c:v>9.0238268710091205E-2</c:v>
                </c:pt>
                <c:pt idx="3">
                  <c:v>6.5546325431343019E-2</c:v>
                </c:pt>
                <c:pt idx="4">
                  <c:v>4.3313109074191496E-2</c:v>
                </c:pt>
                <c:pt idx="5">
                  <c:v>2.3751149346662222E-2</c:v>
                </c:pt>
                <c:pt idx="6">
                  <c:v>6.937440544177954E-3</c:v>
                </c:pt>
                <c:pt idx="7">
                  <c:v>-7.1811497602674423E-3</c:v>
                </c:pt>
                <c:pt idx="8">
                  <c:v>-1.8773245436815106E-2</c:v>
                </c:pt>
                <c:pt idx="9">
                  <c:v>-2.8068238580504976E-2</c:v>
                </c:pt>
                <c:pt idx="10">
                  <c:v>-3.5307929457953552E-2</c:v>
                </c:pt>
                <c:pt idx="11">
                  <c:v>-4.0728391487357657E-2</c:v>
                </c:pt>
                <c:pt idx="12">
                  <c:v>-4.45755609925262E-2</c:v>
                </c:pt>
                <c:pt idx="13">
                  <c:v>-4.7084238758673784E-2</c:v>
                </c:pt>
                <c:pt idx="14">
                  <c:v>-4.8466636335580245E-2</c:v>
                </c:pt>
                <c:pt idx="15">
                  <c:v>-4.8912057879347777E-2</c:v>
                </c:pt>
                <c:pt idx="16">
                  <c:v>-4.8581173303977702E-2</c:v>
                </c:pt>
                <c:pt idx="17">
                  <c:v>-4.7606336439618334E-2</c:v>
                </c:pt>
                <c:pt idx="18">
                  <c:v>-4.6091266874317825E-2</c:v>
                </c:pt>
                <c:pt idx="19">
                  <c:v>-4.4122821809111382E-2</c:v>
                </c:pt>
                <c:pt idx="20">
                  <c:v>-4.1780858963631241E-2</c:v>
                </c:pt>
                <c:pt idx="21">
                  <c:v>-3.9141736316809048E-2</c:v>
                </c:pt>
                <c:pt idx="22">
                  <c:v>-3.6278312106875474E-2</c:v>
                </c:pt>
                <c:pt idx="23">
                  <c:v>-3.3241173494872552E-2</c:v>
                </c:pt>
                <c:pt idx="24">
                  <c:v>-3.0048137342551129E-2</c:v>
                </c:pt>
                <c:pt idx="25">
                  <c:v>-2.6682977579388322E-2</c:v>
                </c:pt>
                <c:pt idx="26">
                  <c:v>-2.3107833374163337E-2</c:v>
                </c:pt>
                <c:pt idx="27">
                  <c:v>-1.9294388643023162E-2</c:v>
                </c:pt>
                <c:pt idx="28">
                  <c:v>-1.5238507328775018E-2</c:v>
                </c:pt>
                <c:pt idx="29">
                  <c:v>-1.0969778148255208E-2</c:v>
                </c:pt>
                <c:pt idx="30">
                  <c:v>-6.5569232825019967E-3</c:v>
                </c:pt>
                <c:pt idx="31">
                  <c:v>-2.0906178314969207E-3</c:v>
                </c:pt>
                <c:pt idx="32">
                  <c:v>2.3187372935553376E-3</c:v>
                </c:pt>
                <c:pt idx="33">
                  <c:v>6.5779217267084265E-3</c:v>
                </c:pt>
                <c:pt idx="34">
                  <c:v>1.0651619902707425E-2</c:v>
                </c:pt>
                <c:pt idx="35">
                  <c:v>1.4519151535590935E-2</c:v>
                </c:pt>
                <c:pt idx="36">
                  <c:v>1.8082842043975856E-2</c:v>
                </c:pt>
                <c:pt idx="37">
                  <c:v>2.1087846673178375E-2</c:v>
                </c:pt>
                <c:pt idx="38">
                  <c:v>2.3406583966733358E-2</c:v>
                </c:pt>
                <c:pt idx="39">
                  <c:v>2.4989421238335634E-2</c:v>
                </c:pt>
                <c:pt idx="40">
                  <c:v>2.5334304776509879E-2</c:v>
                </c:pt>
                <c:pt idx="41">
                  <c:v>2.3972905643809141E-2</c:v>
                </c:pt>
                <c:pt idx="42">
                  <c:v>2.1096755104053629E-2</c:v>
                </c:pt>
                <c:pt idx="43">
                  <c:v>1.7143002586626734E-2</c:v>
                </c:pt>
                <c:pt idx="44">
                  <c:v>1.2691014256671207E-2</c:v>
                </c:pt>
                <c:pt idx="45">
                  <c:v>8.3783792382655497E-3</c:v>
                </c:pt>
                <c:pt idx="46">
                  <c:v>4.7720555249770053E-3</c:v>
                </c:pt>
                <c:pt idx="47">
                  <c:v>2.1300694539453219E-3</c:v>
                </c:pt>
                <c:pt idx="48">
                  <c:v>5.3323321953887865E-4</c:v>
                </c:pt>
                <c:pt idx="49">
                  <c:v>0</c:v>
                </c:pt>
                <c:pt idx="50">
                  <c:v>-5.5614061321794593E-4</c:v>
                </c:pt>
                <c:pt idx="51">
                  <c:v>-2.2226535033994994E-3</c:v>
                </c:pt>
                <c:pt idx="52">
                  <c:v>-4.9820399670388316E-3</c:v>
                </c:pt>
                <c:pt idx="53">
                  <c:v>-8.7722591462538538E-3</c:v>
                </c:pt>
                <c:pt idx="54">
                  <c:v>-1.3447912722829995E-2</c:v>
                </c:pt>
                <c:pt idx="55">
                  <c:v>-1.8763382531203361E-2</c:v>
                </c:pt>
                <c:pt idx="56">
                  <c:v>-2.448100436194952E-2</c:v>
                </c:pt>
                <c:pt idx="57">
                  <c:v>-3.0556236060691865E-2</c:v>
                </c:pt>
                <c:pt idx="58">
                  <c:v>-3.7028211091632707E-2</c:v>
                </c:pt>
                <c:pt idx="59">
                  <c:v>-4.3752167453047525E-2</c:v>
                </c:pt>
                <c:pt idx="60">
                  <c:v>-5.0426172969911434E-2</c:v>
                </c:pt>
                <c:pt idx="61">
                  <c:v>-5.6895602734888175E-2</c:v>
                </c:pt>
                <c:pt idx="62">
                  <c:v>-6.3238087359890893E-2</c:v>
                </c:pt>
                <c:pt idx="63">
                  <c:v>-6.9523621658940452E-2</c:v>
                </c:pt>
                <c:pt idx="64">
                  <c:v>-7.5657076316618194E-2</c:v>
                </c:pt>
                <c:pt idx="65">
                  <c:v>-8.1484462742078628E-2</c:v>
                </c:pt>
                <c:pt idx="66">
                  <c:v>-8.6933877171827559E-2</c:v>
                </c:pt>
                <c:pt idx="67">
                  <c:v>-9.2029817790772725E-2</c:v>
                </c:pt>
                <c:pt idx="68">
                  <c:v>-9.6840052305215196E-2</c:v>
                </c:pt>
                <c:pt idx="69">
                  <c:v>-0.10140816839479615</c:v>
                </c:pt>
                <c:pt idx="70">
                  <c:v>-0.10573512053425101</c:v>
                </c:pt>
                <c:pt idx="71">
                  <c:v>-0.10978559315832484</c:v>
                </c:pt>
                <c:pt idx="72">
                  <c:v>-0.11350327225755527</c:v>
                </c:pt>
                <c:pt idx="73">
                  <c:v>-0.11681784485967606</c:v>
                </c:pt>
                <c:pt idx="74">
                  <c:v>-0.11964881692856384</c:v>
                </c:pt>
                <c:pt idx="75">
                  <c:v>-0.12191346732037549</c:v>
                </c:pt>
                <c:pt idx="76">
                  <c:v>-0.12353734700565343</c:v>
                </c:pt>
                <c:pt idx="77">
                  <c:v>-0.12446223302546189</c:v>
                </c:pt>
                <c:pt idx="78">
                  <c:v>-0.12463881085174107</c:v>
                </c:pt>
                <c:pt idx="79">
                  <c:v>-0.12402381096309661</c:v>
                </c:pt>
                <c:pt idx="80">
                  <c:v>-0.12256855514795911</c:v>
                </c:pt>
                <c:pt idx="81">
                  <c:v>-0.12021418413090278</c:v>
                </c:pt>
                <c:pt idx="82">
                  <c:v>-0.11689420283860769</c:v>
                </c:pt>
                <c:pt idx="83">
                  <c:v>-0.11253798014056227</c:v>
                </c:pt>
                <c:pt idx="84">
                  <c:v>-0.10706947621608025</c:v>
                </c:pt>
                <c:pt idx="85">
                  <c:v>-0.10040469728833697</c:v>
                </c:pt>
                <c:pt idx="86">
                  <c:v>-9.2449786674896034E-2</c:v>
                </c:pt>
                <c:pt idx="87">
                  <c:v>-8.3091798198587932E-2</c:v>
                </c:pt>
                <c:pt idx="88">
                  <c:v>-7.2200286978737344E-2</c:v>
                </c:pt>
                <c:pt idx="89">
                  <c:v>-5.9631763646602352E-2</c:v>
                </c:pt>
                <c:pt idx="90">
                  <c:v>-4.5235739352038742E-2</c:v>
                </c:pt>
                <c:pt idx="91">
                  <c:v>-2.8869042884549615E-2</c:v>
                </c:pt>
                <c:pt idx="92">
                  <c:v>-1.0413955693282644E-2</c:v>
                </c:pt>
                <c:pt idx="93">
                  <c:v>1.020556204244878E-2</c:v>
                </c:pt>
                <c:pt idx="94">
                  <c:v>3.3002872968957361E-2</c:v>
                </c:pt>
                <c:pt idx="95">
                  <c:v>5.7914345437133745E-2</c:v>
                </c:pt>
                <c:pt idx="96">
                  <c:v>8.4793944812270844E-2</c:v>
                </c:pt>
                <c:pt idx="97">
                  <c:v>0.11341927848073097</c:v>
                </c:pt>
                <c:pt idx="98">
                  <c:v>0.14351927561730671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Pressure_Station!$G$105</c:f>
              <c:strCache>
                <c:ptCount val="1"/>
                <c:pt idx="0">
                  <c:v>Flap Shape</c:v>
                </c:pt>
              </c:strCache>
            </c:strRef>
          </c:tx>
          <c:marker>
            <c:symbol val="none"/>
          </c:marker>
          <c:xVal>
            <c:numRef>
              <c:f>Pressure_Station!$G$107:$G$205</c:f>
              <c:numCache>
                <c:formatCode>General</c:formatCode>
                <c:ptCount val="99"/>
                <c:pt idx="0">
                  <c:v>0.99491264965368431</c:v>
                </c:pt>
                <c:pt idx="1">
                  <c:v>0.99455631241867148</c:v>
                </c:pt>
                <c:pt idx="2">
                  <c:v>0.99357002185747134</c:v>
                </c:pt>
                <c:pt idx="3">
                  <c:v>0.99200786487183046</c:v>
                </c:pt>
                <c:pt idx="4">
                  <c:v>0.98991120203366745</c:v>
                </c:pt>
                <c:pt idx="5">
                  <c:v>0.9873277570798169</c:v>
                </c:pt>
                <c:pt idx="6">
                  <c:v>0.98430207216465326</c:v>
                </c:pt>
                <c:pt idx="7">
                  <c:v>0.9808818710250099</c:v>
                </c:pt>
                <c:pt idx="8">
                  <c:v>0.97710851423280964</c:v>
                </c:pt>
                <c:pt idx="9">
                  <c:v>0.97302018077751495</c:v>
                </c:pt>
                <c:pt idx="10">
                  <c:v>0.96865186806613834</c:v>
                </c:pt>
                <c:pt idx="11">
                  <c:v>0.96404175508814527</c:v>
                </c:pt>
                <c:pt idx="12">
                  <c:v>0.95921211292072439</c:v>
                </c:pt>
                <c:pt idx="13">
                  <c:v>0.95419475738842918</c:v>
                </c:pt>
                <c:pt idx="14">
                  <c:v>0.94900877798599537</c:v>
                </c:pt>
                <c:pt idx="15">
                  <c:v>0.94367962737306321</c:v>
                </c:pt>
                <c:pt idx="16">
                  <c:v>0.93822639504436689</c:v>
                </c:pt>
                <c:pt idx="17">
                  <c:v>0.93266498891218463</c:v>
                </c:pt>
                <c:pt idx="18">
                  <c:v>0.92701449847124906</c:v>
                </c:pt>
                <c:pt idx="19">
                  <c:v>0.92128446846892675</c:v>
                </c:pt>
                <c:pt idx="20">
                  <c:v>0.91549080681749428</c:v>
                </c:pt>
                <c:pt idx="21">
                  <c:v>0.90963351351695321</c:v>
                </c:pt>
                <c:pt idx="22">
                  <c:v>0.90372213331466855</c:v>
                </c:pt>
                <c:pt idx="23">
                  <c:v>0.89774712146327373</c:v>
                </c:pt>
                <c:pt idx="24">
                  <c:v>0.89171484112768074</c:v>
                </c:pt>
                <c:pt idx="25">
                  <c:v>0.88561574756052175</c:v>
                </c:pt>
                <c:pt idx="26">
                  <c:v>0.87945302234425415</c:v>
                </c:pt>
                <c:pt idx="27">
                  <c:v>0.87322666547887651</c:v>
                </c:pt>
                <c:pt idx="28">
                  <c:v>0.86692713221702244</c:v>
                </c:pt>
                <c:pt idx="29">
                  <c:v>0.8605448778113256</c:v>
                </c:pt>
                <c:pt idx="30">
                  <c:v>0.85408308384424181</c:v>
                </c:pt>
                <c:pt idx="31">
                  <c:v>0.84767537677890181</c:v>
                </c:pt>
                <c:pt idx="32">
                  <c:v>0.84160173587138742</c:v>
                </c:pt>
                <c:pt idx="33">
                  <c:v>0.83607850872867207</c:v>
                </c:pt>
                <c:pt idx="34">
                  <c:v>0.83100070312972274</c:v>
                </c:pt>
                <c:pt idx="35">
                  <c:v>0.82623469261141047</c:v>
                </c:pt>
                <c:pt idx="36">
                  <c:v>0.82184729040530258</c:v>
                </c:pt>
                <c:pt idx="37">
                  <c:v>0.81791485449032708</c:v>
                </c:pt>
                <c:pt idx="38">
                  <c:v>0.81448510860331735</c:v>
                </c:pt>
                <c:pt idx="39">
                  <c:v>0.81162486597583938</c:v>
                </c:pt>
                <c:pt idx="40">
                  <c:v>0.80934367135525942</c:v>
                </c:pt>
                <c:pt idx="41">
                  <c:v>0.80760016416965485</c:v>
                </c:pt>
                <c:pt idx="42">
                  <c:v>0.80633389435237268</c:v>
                </c:pt>
                <c:pt idx="43">
                  <c:v>0.80546214075957179</c:v>
                </c:pt>
                <c:pt idx="44">
                  <c:v>0.80491172699477287</c:v>
                </c:pt>
                <c:pt idx="45">
                  <c:v>0.80460311349659031</c:v>
                </c:pt>
                <c:pt idx="46">
                  <c:v>0.80445357912118298</c:v>
                </c:pt>
                <c:pt idx="47">
                  <c:v>0.8043963106369848</c:v>
                </c:pt>
                <c:pt idx="48">
                  <c:v>0.8043835843071625</c:v>
                </c:pt>
                <c:pt idx="49">
                  <c:v>0.8043835843071625</c:v>
                </c:pt>
                <c:pt idx="50">
                  <c:v>0.8043835843071625</c:v>
                </c:pt>
                <c:pt idx="51">
                  <c:v>0.80440267380189523</c:v>
                </c:pt>
                <c:pt idx="52">
                  <c:v>0.80448539494573801</c:v>
                </c:pt>
                <c:pt idx="53">
                  <c:v>0.80471128730007768</c:v>
                </c:pt>
                <c:pt idx="54">
                  <c:v>0.8051885246684003</c:v>
                </c:pt>
                <c:pt idx="55">
                  <c:v>0.80606982300856755</c:v>
                </c:pt>
                <c:pt idx="56">
                  <c:v>0.80751744302581208</c:v>
                </c:pt>
                <c:pt idx="57">
                  <c:v>0.80967137434817327</c:v>
                </c:pt>
                <c:pt idx="58">
                  <c:v>0.81257934071248306</c:v>
                </c:pt>
                <c:pt idx="59">
                  <c:v>0.81623497895383246</c:v>
                </c:pt>
                <c:pt idx="60">
                  <c:v>0.82062238115994179</c:v>
                </c:pt>
                <c:pt idx="61">
                  <c:v>0.8257320025834447</c:v>
                </c:pt>
                <c:pt idx="62">
                  <c:v>0.83152566423487717</c:v>
                </c:pt>
                <c:pt idx="63">
                  <c:v>0.83795564237740583</c:v>
                </c:pt>
                <c:pt idx="64">
                  <c:v>0.84495194219701031</c:v>
                </c:pt>
                <c:pt idx="65">
                  <c:v>0.85244775046212462</c:v>
                </c:pt>
                <c:pt idx="66">
                  <c:v>0.86034761969908635</c:v>
                </c:pt>
                <c:pt idx="67">
                  <c:v>0.86853064977458472</c:v>
                </c:pt>
                <c:pt idx="68">
                  <c:v>0.87687912213776853</c:v>
                </c:pt>
                <c:pt idx="69">
                  <c:v>0.88529440773251844</c:v>
                </c:pt>
                <c:pt idx="70">
                  <c:v>0.89370333016235637</c:v>
                </c:pt>
                <c:pt idx="71">
                  <c:v>0.90202953144835163</c:v>
                </c:pt>
                <c:pt idx="72">
                  <c:v>0.91021256152385133</c:v>
                </c:pt>
                <c:pt idx="73">
                  <c:v>0.91818560715728814</c:v>
                </c:pt>
                <c:pt idx="74">
                  <c:v>0.9258882182820094</c:v>
                </c:pt>
                <c:pt idx="75">
                  <c:v>0.93326948957872724</c:v>
                </c:pt>
                <c:pt idx="76">
                  <c:v>0.94028487889306445</c:v>
                </c:pt>
                <c:pt idx="77">
                  <c:v>0.94688984407064369</c:v>
                </c:pt>
                <c:pt idx="78">
                  <c:v>0.95305256928691129</c:v>
                </c:pt>
                <c:pt idx="79">
                  <c:v>0.95876350979450087</c:v>
                </c:pt>
                <c:pt idx="80">
                  <c:v>0.96401630242850211</c:v>
                </c:pt>
                <c:pt idx="81">
                  <c:v>0.96882685510119038</c:v>
                </c:pt>
                <c:pt idx="82">
                  <c:v>0.97320471255993335</c:v>
                </c:pt>
                <c:pt idx="83">
                  <c:v>0.97716896429946376</c:v>
                </c:pt>
                <c:pt idx="84">
                  <c:v>0.98072597348469215</c:v>
                </c:pt>
                <c:pt idx="85">
                  <c:v>0.98389801119280718</c:v>
                </c:pt>
                <c:pt idx="86">
                  <c:v>0.98671371166590782</c:v>
                </c:pt>
                <c:pt idx="87">
                  <c:v>0.98919216439872837</c:v>
                </c:pt>
                <c:pt idx="88">
                  <c:v>0.99137154838073416</c:v>
                </c:pt>
                <c:pt idx="89">
                  <c:v>0.99327413468911108</c:v>
                </c:pt>
                <c:pt idx="90">
                  <c:v>0.99492537598350661</c:v>
                </c:pt>
                <c:pt idx="91">
                  <c:v>0.99634436175865204</c:v>
                </c:pt>
                <c:pt idx="92">
                  <c:v>0.99755018150927854</c:v>
                </c:pt>
                <c:pt idx="93">
                  <c:v>0.99855237998275548</c:v>
                </c:pt>
                <c:pt idx="94">
                  <c:v>0.99934777559662691</c:v>
                </c:pt>
                <c:pt idx="95">
                  <c:v>0.99993000518597952</c:v>
                </c:pt>
                <c:pt idx="96">
                  <c:v>1.0002704345087157</c:v>
                </c:pt>
                <c:pt idx="97">
                  <c:v>1.000314976663093</c:v>
                </c:pt>
                <c:pt idx="98">
                  <c:v>1</c:v>
                </c:pt>
              </c:numCache>
            </c:numRef>
          </c:xVal>
          <c:yVal>
            <c:numRef>
              <c:f>Pressure_Station!$H$107:$H$205</c:f>
              <c:numCache>
                <c:formatCode>General</c:formatCode>
                <c:ptCount val="99"/>
                <c:pt idx="0">
                  <c:v>0.49265181716081941</c:v>
                </c:pt>
                <c:pt idx="1">
                  <c:v>0.47974000108173775</c:v>
                </c:pt>
                <c:pt idx="2">
                  <c:v>0.46687368163176995</c:v>
                </c:pt>
                <c:pt idx="3">
                  <c:v>0.45409167411687218</c:v>
                </c:pt>
                <c:pt idx="4">
                  <c:v>0.4414261125198452</c:v>
                </c:pt>
                <c:pt idx="5">
                  <c:v>0.42890499476629662</c:v>
                </c:pt>
                <c:pt idx="6">
                  <c:v>0.41655091009166129</c:v>
                </c:pt>
                <c:pt idx="7">
                  <c:v>0.40438294799067148</c:v>
                </c:pt>
                <c:pt idx="8">
                  <c:v>0.39241638005911361</c:v>
                </c:pt>
                <c:pt idx="9">
                  <c:v>0.38066456894330108</c:v>
                </c:pt>
                <c:pt idx="10">
                  <c:v>0.36913896834007298</c:v>
                </c:pt>
                <c:pt idx="11">
                  <c:v>0.3578500774715328</c:v>
                </c:pt>
                <c:pt idx="12">
                  <c:v>0.34680807740153802</c:v>
                </c:pt>
                <c:pt idx="13">
                  <c:v>0.33602251287745499</c:v>
                </c:pt>
                <c:pt idx="14">
                  <c:v>0.32550197417191368</c:v>
                </c:pt>
                <c:pt idx="15">
                  <c:v>0.31525568787403463</c:v>
                </c:pt>
                <c:pt idx="16">
                  <c:v>0.30529351688943029</c:v>
                </c:pt>
                <c:pt idx="17">
                  <c:v>0.29562468780722173</c:v>
                </c:pt>
                <c:pt idx="18">
                  <c:v>0.28625874537477447</c:v>
                </c:pt>
                <c:pt idx="19">
                  <c:v>0.27720587065594687</c:v>
                </c:pt>
                <c:pt idx="20">
                  <c:v>0.26847815366406924</c:v>
                </c:pt>
                <c:pt idx="21">
                  <c:v>0.26009086599492848</c:v>
                </c:pt>
                <c:pt idx="22">
                  <c:v>0.25206341530150256</c:v>
                </c:pt>
                <c:pt idx="23">
                  <c:v>0.24441775450273451</c:v>
                </c:pt>
                <c:pt idx="24">
                  <c:v>0.23717997257475928</c:v>
                </c:pt>
                <c:pt idx="25">
                  <c:v>0.23037870375967598</c:v>
                </c:pt>
                <c:pt idx="26">
                  <c:v>0.22404544572379423</c:v>
                </c:pt>
                <c:pt idx="27">
                  <c:v>0.21821392324114172</c:v>
                </c:pt>
                <c:pt idx="28">
                  <c:v>0.21293758689697068</c:v>
                </c:pt>
                <c:pt idx="29">
                  <c:v>0.2082991578351242</c:v>
                </c:pt>
                <c:pt idx="30">
                  <c:v>0.20437913009172498</c:v>
                </c:pt>
                <c:pt idx="31">
                  <c:v>0.20105214931802801</c:v>
                </c:pt>
                <c:pt idx="32">
                  <c:v>0.19783652393027254</c:v>
                </c:pt>
                <c:pt idx="33">
                  <c:v>0.19437209879449832</c:v>
                </c:pt>
                <c:pt idx="34">
                  <c:v>0.19088731153100949</c:v>
                </c:pt>
                <c:pt idx="35">
                  <c:v>0.18759946422151447</c:v>
                </c:pt>
                <c:pt idx="36">
                  <c:v>0.18441724544954163</c:v>
                </c:pt>
                <c:pt idx="37">
                  <c:v>0.18126938776808829</c:v>
                </c:pt>
                <c:pt idx="38">
                  <c:v>0.17812089377014351</c:v>
                </c:pt>
                <c:pt idx="39">
                  <c:v>0.17495712817641229</c:v>
                </c:pt>
                <c:pt idx="40">
                  <c:v>0.17182867814793742</c:v>
                </c:pt>
                <c:pt idx="41">
                  <c:v>0.16882144641101582</c:v>
                </c:pt>
                <c:pt idx="42">
                  <c:v>0.16601910858422783</c:v>
                </c:pt>
                <c:pt idx="43">
                  <c:v>0.16349293211457513</c:v>
                </c:pt>
                <c:pt idx="44">
                  <c:v>0.16129509495432839</c:v>
                </c:pt>
                <c:pt idx="45">
                  <c:v>0.15946441240944423</c:v>
                </c:pt>
                <c:pt idx="46">
                  <c:v>0.15802570082307535</c:v>
                </c:pt>
                <c:pt idx="47">
                  <c:v>0.15699295915802597</c:v>
                </c:pt>
                <c:pt idx="48">
                  <c:v>0.15637191426271607</c:v>
                </c:pt>
                <c:pt idx="49">
                  <c:v>0.1561647932448641</c:v>
                </c:pt>
                <c:pt idx="50">
                  <c:v>0.15591249375614438</c:v>
                </c:pt>
                <c:pt idx="51">
                  <c:v>0.1551565497647221</c:v>
                </c:pt>
                <c:pt idx="52">
                  <c:v>0.15389950653656134</c:v>
                </c:pt>
                <c:pt idx="53">
                  <c:v>0.15215249961025606</c:v>
                </c:pt>
                <c:pt idx="54">
                  <c:v>0.14994257243667852</c:v>
                </c:pt>
                <c:pt idx="55">
                  <c:v>0.14732858429125481</c:v>
                </c:pt>
                <c:pt idx="56">
                  <c:v>0.14441680002799795</c:v>
                </c:pt>
                <c:pt idx="57">
                  <c:v>0.14135389059810574</c:v>
                </c:pt>
                <c:pt idx="58">
                  <c:v>0.1382814364208472</c:v>
                </c:pt>
                <c:pt idx="59">
                  <c:v>0.13530442971725268</c:v>
                </c:pt>
                <c:pt idx="60">
                  <c:v>0.13252531744238949</c:v>
                </c:pt>
                <c:pt idx="61">
                  <c:v>0.1300716810527221</c:v>
                </c:pt>
                <c:pt idx="62">
                  <c:v>0.12805964830787553</c:v>
                </c:pt>
                <c:pt idx="63">
                  <c:v>0.12657703088362082</c:v>
                </c:pt>
                <c:pt idx="64">
                  <c:v>0.12570686808204679</c:v>
                </c:pt>
                <c:pt idx="65">
                  <c:v>0.12556783292874232</c:v>
                </c:pt>
                <c:pt idx="66">
                  <c:v>0.12631327769806139</c:v>
                </c:pt>
                <c:pt idx="67">
                  <c:v>0.1280485127692812</c:v>
                </c:pt>
                <c:pt idx="68">
                  <c:v>0.13079867264379955</c:v>
                </c:pt>
                <c:pt idx="69">
                  <c:v>0.1345268509651332</c:v>
                </c:pt>
                <c:pt idx="70">
                  <c:v>0.13918023346452066</c:v>
                </c:pt>
                <c:pt idx="71">
                  <c:v>0.14472191378547875</c:v>
                </c:pt>
                <c:pt idx="72">
                  <c:v>0.15112198505292576</c:v>
                </c:pt>
                <c:pt idx="73">
                  <c:v>0.1583499040752889</c:v>
                </c:pt>
                <c:pt idx="74">
                  <c:v>0.16637512766099607</c:v>
                </c:pt>
                <c:pt idx="75">
                  <c:v>0.17516074945356333</c:v>
                </c:pt>
                <c:pt idx="76">
                  <c:v>0.18466668151405152</c:v>
                </c:pt>
                <c:pt idx="77">
                  <c:v>0.19485379037825831</c:v>
                </c:pt>
                <c:pt idx="78">
                  <c:v>0.20567657941707065</c:v>
                </c:pt>
                <c:pt idx="79">
                  <c:v>0.21708509778593685</c:v>
                </c:pt>
                <c:pt idx="80">
                  <c:v>0.22902684937434195</c:v>
                </c:pt>
                <c:pt idx="81">
                  <c:v>0.24144997438826132</c:v>
                </c:pt>
                <c:pt idx="82">
                  <c:v>0.25430802172384498</c:v>
                </c:pt>
                <c:pt idx="83">
                  <c:v>0.2675593126509262</c:v>
                </c:pt>
                <c:pt idx="84">
                  <c:v>0.28116598633828488</c:v>
                </c:pt>
                <c:pt idx="85">
                  <c:v>0.29509240906241935</c:v>
                </c:pt>
                <c:pt idx="86">
                  <c:v>0.309303901574565</c:v>
                </c:pt>
                <c:pt idx="87">
                  <c:v>0.32376928436665831</c:v>
                </c:pt>
                <c:pt idx="88">
                  <c:v>0.33845992319659951</c:v>
                </c:pt>
                <c:pt idx="89">
                  <c:v>0.35334909277176285</c:v>
                </c:pt>
                <c:pt idx="90">
                  <c:v>0.36841229490724092</c:v>
                </c:pt>
                <c:pt idx="91">
                  <c:v>0.3836278948423365</c:v>
                </c:pt>
                <c:pt idx="92">
                  <c:v>0.39897457597459818</c:v>
                </c:pt>
                <c:pt idx="93">
                  <c:v>0.41443229433455603</c:v>
                </c:pt>
                <c:pt idx="94">
                  <c:v>0.42998259674396838</c:v>
                </c:pt>
                <c:pt idx="95">
                  <c:v>0.44560703002459362</c:v>
                </c:pt>
                <c:pt idx="96">
                  <c:v>0.46128714099818952</c:v>
                </c:pt>
                <c:pt idx="97">
                  <c:v>0.47700288569528709</c:v>
                </c:pt>
                <c:pt idx="98">
                  <c:v>0.49273135672220625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Pressure_Station!$G$206</c:f>
              <c:strCache>
                <c:ptCount val="1"/>
                <c:pt idx="0">
                  <c:v>MainWing Pressure Taps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Pressure_Station!$G$208:$G$229</c:f>
              <c:numCache>
                <c:formatCode>General</c:formatCode>
                <c:ptCount val="22"/>
                <c:pt idx="0">
                  <c:v>0.73678132029308741</c:v>
                </c:pt>
                <c:pt idx="1">
                  <c:v>0.48221972644754119</c:v>
                </c:pt>
                <c:pt idx="2">
                  <c:v>0.35498824405282786</c:v>
                </c:pt>
                <c:pt idx="3">
                  <c:v>0.23053746472420431</c:v>
                </c:pt>
                <c:pt idx="4">
                  <c:v>0.13239519071996131</c:v>
                </c:pt>
                <c:pt idx="5">
                  <c:v>6.8881260161179472E-2</c:v>
                </c:pt>
                <c:pt idx="6">
                  <c:v>3.7189517322125852E-2</c:v>
                </c:pt>
                <c:pt idx="7">
                  <c:v>2.9719161716654754E-2</c:v>
                </c:pt>
                <c:pt idx="8">
                  <c:v>2.0091693206367903E-2</c:v>
                </c:pt>
                <c:pt idx="9">
                  <c:v>8.8702518858837422E-3</c:v>
                </c:pt>
                <c:pt idx="10">
                  <c:v>1.9089494732732713E-5</c:v>
                </c:pt>
                <c:pt idx="11">
                  <c:v>1.7702324782300608E-2</c:v>
                </c:pt>
                <c:pt idx="12">
                  <c:v>2.7253435313656524E-2</c:v>
                </c:pt>
                <c:pt idx="13">
                  <c:v>3.6849087999389761E-2</c:v>
                </c:pt>
                <c:pt idx="14">
                  <c:v>4.6428832772844777E-2</c:v>
                </c:pt>
                <c:pt idx="15">
                  <c:v>6.55565064952012E-2</c:v>
                </c:pt>
                <c:pt idx="16">
                  <c:v>8.7359891062617323E-2</c:v>
                </c:pt>
                <c:pt idx="17">
                  <c:v>0.15782876086908085</c:v>
                </c:pt>
                <c:pt idx="18">
                  <c:v>0.28504115376906142</c:v>
                </c:pt>
                <c:pt idx="19">
                  <c:v>0.41227899932868661</c:v>
                </c:pt>
                <c:pt idx="20">
                  <c:v>0.53951048172339988</c:v>
                </c:pt>
                <c:pt idx="21">
                  <c:v>0.6667451457005692</c:v>
                </c:pt>
              </c:numCache>
            </c:numRef>
          </c:xVal>
          <c:yVal>
            <c:numRef>
              <c:f>Pressure_Station!$H$208:$H$229</c:f>
              <c:numCache>
                <c:formatCode>General</c:formatCode>
                <c:ptCount val="22"/>
                <c:pt idx="0">
                  <c:v>-5.5548520723236981E-2</c:v>
                </c:pt>
                <c:pt idx="1">
                  <c:v>-0.12028767868562457</c:v>
                </c:pt>
                <c:pt idx="2">
                  <c:v>-0.12405944468659798</c:v>
                </c:pt>
                <c:pt idx="3">
                  <c:v>-0.11144001603517523</c:v>
                </c:pt>
                <c:pt idx="4">
                  <c:v>-8.9972606575058095E-2</c:v>
                </c:pt>
                <c:pt idx="5">
                  <c:v>-6.6358583432227364E-2</c:v>
                </c:pt>
                <c:pt idx="6">
                  <c:v>-4.8627624407827655E-2</c:v>
                </c:pt>
                <c:pt idx="7">
                  <c:v>-4.3094852517745176E-2</c:v>
                </c:pt>
                <c:pt idx="8">
                  <c:v>-3.4690066145099258E-2</c:v>
                </c:pt>
                <c:pt idx="9">
                  <c:v>-2.2772176425110081E-2</c:v>
                </c:pt>
                <c:pt idx="10">
                  <c:v>-1.0575580082017992E-3</c:v>
                </c:pt>
                <c:pt idx="11">
                  <c:v>2.3253549850624704E-2</c:v>
                </c:pt>
                <c:pt idx="12">
                  <c:v>2.5220404124603538E-2</c:v>
                </c:pt>
                <c:pt idx="13">
                  <c:v>2.5176180128472305E-2</c:v>
                </c:pt>
                <c:pt idx="14">
                  <c:v>2.3960815630478315E-2</c:v>
                </c:pt>
                <c:pt idx="15">
                  <c:v>2.0169005660035329E-2</c:v>
                </c:pt>
                <c:pt idx="16">
                  <c:v>1.4576420019789486E-2</c:v>
                </c:pt>
                <c:pt idx="17">
                  <c:v>-3.8955295584914931E-3</c:v>
                </c:pt>
                <c:pt idx="18">
                  <c:v>-2.8557565962158006E-2</c:v>
                </c:pt>
                <c:pt idx="19">
                  <c:v>-4.3236114778768389E-2</c:v>
                </c:pt>
                <c:pt idx="20">
                  <c:v>-4.8904740239700137E-2</c:v>
                </c:pt>
                <c:pt idx="21">
                  <c:v>-3.9311950978177447E-2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Pressure_Station!$G$230</c:f>
              <c:strCache>
                <c:ptCount val="1"/>
                <c:pt idx="0">
                  <c:v>Flap Pressure Taps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Pressure_Station!$G$232:$G$239</c:f>
              <c:numCache>
                <c:formatCode>General</c:formatCode>
                <c:ptCount val="8"/>
                <c:pt idx="0">
                  <c:v>0.9951130893483795</c:v>
                </c:pt>
                <c:pt idx="1">
                  <c:v>0.97895065047453245</c:v>
                </c:pt>
                <c:pt idx="2">
                  <c:v>0.94671167545313717</c:v>
                </c:pt>
                <c:pt idx="3">
                  <c:v>0.89856796973678832</c:v>
                </c:pt>
                <c:pt idx="4">
                  <c:v>0.83493313904469824</c:v>
                </c:pt>
                <c:pt idx="5">
                  <c:v>0.80438994747207437</c:v>
                </c:pt>
                <c:pt idx="6">
                  <c:v>0.83493313904469824</c:v>
                </c:pt>
                <c:pt idx="7">
                  <c:v>0.90056282193637438</c:v>
                </c:pt>
              </c:numCache>
            </c:numRef>
          </c:xVal>
          <c:yVal>
            <c:numRef>
              <c:f>Pressure_Station!$H$232:$H$239</c:f>
              <c:numCache>
                <c:formatCode>General</c:formatCode>
                <c:ptCount val="8"/>
                <c:pt idx="0">
                  <c:v>0.37029770067035955</c:v>
                </c:pt>
                <c:pt idx="1">
                  <c:v>0.27414677912500135</c:v>
                </c:pt>
                <c:pt idx="2">
                  <c:v>0.19456363005831853</c:v>
                </c:pt>
                <c:pt idx="3">
                  <c:v>0.14230295664457587</c:v>
                </c:pt>
                <c:pt idx="4">
                  <c:v>0.12718598576560022</c:v>
                </c:pt>
                <c:pt idx="5">
                  <c:v>0.15663312218231104</c:v>
                </c:pt>
                <c:pt idx="6">
                  <c:v>0.19359292925115087</c:v>
                </c:pt>
                <c:pt idx="7">
                  <c:v>0.24796299183287782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195072"/>
        <c:axId val="134197248"/>
      </c:scatterChart>
      <c:valAx>
        <c:axId val="134195072"/>
        <c:scaling>
          <c:orientation val="minMax"/>
          <c:max val="1"/>
          <c:min val="0"/>
        </c:scaling>
        <c:delete val="0"/>
        <c:axPos val="b"/>
        <c:numFmt formatCode="0.0" sourceLinked="0"/>
        <c:majorTickMark val="out"/>
        <c:minorTickMark val="none"/>
        <c:tickLblPos val="nextTo"/>
        <c:crossAx val="134197248"/>
        <c:crosses val="autoZero"/>
        <c:crossBetween val="midCat"/>
      </c:valAx>
      <c:valAx>
        <c:axId val="134197248"/>
        <c:scaling>
          <c:orientation val="minMax"/>
          <c:max val="0.60000000000000009"/>
          <c:min val="-0.2"/>
        </c:scaling>
        <c:delete val="0"/>
        <c:axPos val="l"/>
        <c:numFmt formatCode="0.0" sourceLinked="0"/>
        <c:majorTickMark val="out"/>
        <c:minorTickMark val="none"/>
        <c:tickLblPos val="nextTo"/>
        <c:crossAx val="13419507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0919940513652492E-2"/>
          <c:y val="1.1583676595585695E-2"/>
          <c:w val="0.9180735001375272"/>
          <c:h val="0.97683264680882864"/>
        </c:manualLayout>
      </c:layout>
      <c:scatterChart>
        <c:scatterStyle val="lineMarker"/>
        <c:varyColors val="0"/>
        <c:ser>
          <c:idx val="8"/>
          <c:order val="4"/>
          <c:tx>
            <c:strRef>
              <c:f>Pressure_Station!$I$234</c:f>
              <c:strCache>
                <c:ptCount val="1"/>
                <c:pt idx="0">
                  <c:v>28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dLbls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Pressure_Station!$G$234</c:f>
              <c:numCache>
                <c:formatCode>General</c:formatCode>
                <c:ptCount val="1"/>
                <c:pt idx="0">
                  <c:v>0.94671167545313717</c:v>
                </c:pt>
              </c:numCache>
            </c:numRef>
          </c:xVal>
          <c:yVal>
            <c:numRef>
              <c:f>Pressure_Station!$H$234</c:f>
              <c:numCache>
                <c:formatCode>General</c:formatCode>
                <c:ptCount val="1"/>
                <c:pt idx="0">
                  <c:v>0.19456363005831853</c:v>
                </c:pt>
              </c:numCache>
            </c:numRef>
          </c:yVal>
          <c:smooth val="0"/>
        </c:ser>
        <c:ser>
          <c:idx val="9"/>
          <c:order val="5"/>
          <c:tx>
            <c:strRef>
              <c:f>Pressure_Station!$I$235</c:f>
              <c:strCache>
                <c:ptCount val="1"/>
                <c:pt idx="0">
                  <c:v>29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dLbls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Pressure_Station!$G$235</c:f>
              <c:numCache>
                <c:formatCode>General</c:formatCode>
                <c:ptCount val="1"/>
                <c:pt idx="0">
                  <c:v>0.89856796973678832</c:v>
                </c:pt>
              </c:numCache>
            </c:numRef>
          </c:xVal>
          <c:yVal>
            <c:numRef>
              <c:f>Pressure_Station!$H$235</c:f>
              <c:numCache>
                <c:formatCode>General</c:formatCode>
                <c:ptCount val="1"/>
                <c:pt idx="0">
                  <c:v>0.14230295664457587</c:v>
                </c:pt>
              </c:numCache>
            </c:numRef>
          </c:yVal>
          <c:smooth val="0"/>
        </c:ser>
        <c:ser>
          <c:idx val="13"/>
          <c:order val="6"/>
          <c:tx>
            <c:strRef>
              <c:f>Pressure_Station!$I$236</c:f>
              <c:strCache>
                <c:ptCount val="1"/>
                <c:pt idx="0">
                  <c:v>31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dLbls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Pressure_Station!$G$236</c:f>
              <c:numCache>
                <c:formatCode>General</c:formatCode>
                <c:ptCount val="1"/>
                <c:pt idx="0">
                  <c:v>0.83493313904469824</c:v>
                </c:pt>
              </c:numCache>
            </c:numRef>
          </c:xVal>
          <c:yVal>
            <c:numRef>
              <c:f>Pressure_Station!$H$236</c:f>
              <c:numCache>
                <c:formatCode>General</c:formatCode>
                <c:ptCount val="1"/>
                <c:pt idx="0">
                  <c:v>0.12718598576560022</c:v>
                </c:pt>
              </c:numCache>
            </c:numRef>
          </c:yVal>
          <c:smooth val="0"/>
        </c:ser>
        <c:ser>
          <c:idx val="14"/>
          <c:order val="7"/>
          <c:tx>
            <c:strRef>
              <c:f>Pressure_Station!$I$237</c:f>
              <c:strCache>
                <c:ptCount val="1"/>
                <c:pt idx="0">
                  <c:v>32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dLbls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Pressure_Station!$G$237</c:f>
              <c:numCache>
                <c:formatCode>General</c:formatCode>
                <c:ptCount val="1"/>
                <c:pt idx="0">
                  <c:v>0.80438994747207437</c:v>
                </c:pt>
              </c:numCache>
            </c:numRef>
          </c:xVal>
          <c:yVal>
            <c:numRef>
              <c:f>Pressure_Station!$H$237</c:f>
              <c:numCache>
                <c:formatCode>General</c:formatCode>
                <c:ptCount val="1"/>
                <c:pt idx="0">
                  <c:v>0.15663312218231104</c:v>
                </c:pt>
              </c:numCache>
            </c:numRef>
          </c:yVal>
          <c:smooth val="0"/>
        </c:ser>
        <c:ser>
          <c:idx val="18"/>
          <c:order val="8"/>
          <c:tx>
            <c:strRef>
              <c:f>Pressure_Station!$I$238</c:f>
              <c:strCache>
                <c:ptCount val="1"/>
                <c:pt idx="0">
                  <c:v>30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dLbls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Pressure_Station!$G$238</c:f>
              <c:numCache>
                <c:formatCode>General</c:formatCode>
                <c:ptCount val="1"/>
                <c:pt idx="0">
                  <c:v>0.83493313904469824</c:v>
                </c:pt>
              </c:numCache>
            </c:numRef>
          </c:xVal>
          <c:yVal>
            <c:numRef>
              <c:f>Pressure_Station!$H$238</c:f>
              <c:numCache>
                <c:formatCode>General</c:formatCode>
                <c:ptCount val="1"/>
                <c:pt idx="0">
                  <c:v>0.19359292925115087</c:v>
                </c:pt>
              </c:numCache>
            </c:numRef>
          </c:yVal>
          <c:smooth val="0"/>
        </c:ser>
        <c:ser>
          <c:idx val="19"/>
          <c:order val="9"/>
          <c:tx>
            <c:strRef>
              <c:f>Pressure_Station!$I$239</c:f>
              <c:strCache>
                <c:ptCount val="1"/>
                <c:pt idx="0">
                  <c:v>27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dLbls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Pressure_Station!$G$239</c:f>
              <c:numCache>
                <c:formatCode>General</c:formatCode>
                <c:ptCount val="1"/>
                <c:pt idx="0">
                  <c:v>0.90056282193637438</c:v>
                </c:pt>
              </c:numCache>
            </c:numRef>
          </c:xVal>
          <c:yVal>
            <c:numRef>
              <c:f>Pressure_Station!$H$239</c:f>
              <c:numCache>
                <c:formatCode>General</c:formatCode>
                <c:ptCount val="1"/>
                <c:pt idx="0">
                  <c:v>0.24796299183287782</c:v>
                </c:pt>
              </c:numCache>
            </c:numRef>
          </c:yVal>
          <c:smooth val="0"/>
        </c:ser>
        <c:ser>
          <c:idx val="0"/>
          <c:order val="0"/>
          <c:tx>
            <c:strRef>
              <c:f>Pressure_Station!$G$4</c:f>
              <c:strCache>
                <c:ptCount val="1"/>
                <c:pt idx="0">
                  <c:v>MainWing Shape</c:v>
                </c:pt>
              </c:strCache>
            </c:strRef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Pressure_Station!$G$6:$G$104</c:f>
              <c:numCache>
                <c:formatCode>General</c:formatCode>
                <c:ptCount val="99"/>
                <c:pt idx="0">
                  <c:v>0.94693438622502102</c:v>
                </c:pt>
                <c:pt idx="1">
                  <c:v>0.93010381503552275</c:v>
                </c:pt>
                <c:pt idx="2">
                  <c:v>0.9105720803413202</c:v>
                </c:pt>
                <c:pt idx="3">
                  <c:v>0.88848235335291026</c:v>
                </c:pt>
                <c:pt idx="4">
                  <c:v>0.86405734484217811</c:v>
                </c:pt>
                <c:pt idx="5">
                  <c:v>0.83761521305466979</c:v>
                </c:pt>
                <c:pt idx="6">
                  <c:v>0.80954092946749867</c:v>
                </c:pt>
                <c:pt idx="7">
                  <c:v>0.78024491821742281</c:v>
                </c:pt>
                <c:pt idx="8">
                  <c:v>0.75011215078155546</c:v>
                </c:pt>
                <c:pt idx="9">
                  <c:v>0.71947033015281203</c:v>
                </c:pt>
                <c:pt idx="10">
                  <c:v>0.68859307242236123</c:v>
                </c:pt>
                <c:pt idx="11">
                  <c:v>0.6576808172849008</c:v>
                </c:pt>
                <c:pt idx="12">
                  <c:v>0.62690855177548266</c:v>
                </c:pt>
                <c:pt idx="13">
                  <c:v>0.59639399444495655</c:v>
                </c:pt>
                <c:pt idx="14">
                  <c:v>0.56624213751435659</c:v>
                </c:pt>
                <c:pt idx="15">
                  <c:v>0.53652297579770181</c:v>
                </c:pt>
                <c:pt idx="16">
                  <c:v>0.50729695936164787</c:v>
                </c:pt>
                <c:pt idx="17">
                  <c:v>0.47860544877811317</c:v>
                </c:pt>
                <c:pt idx="18">
                  <c:v>0.45049298620147665</c:v>
                </c:pt>
                <c:pt idx="19">
                  <c:v>0.42299138745629317</c:v>
                </c:pt>
                <c:pt idx="20">
                  <c:v>0.39612928678466192</c:v>
                </c:pt>
                <c:pt idx="21">
                  <c:v>0.36993531842868055</c:v>
                </c:pt>
                <c:pt idx="22">
                  <c:v>0.34443493504799505</c:v>
                </c:pt>
                <c:pt idx="23">
                  <c:v>0.31965040771979264</c:v>
                </c:pt>
                <c:pt idx="24">
                  <c:v>0.29560718910371658</c:v>
                </c:pt>
                <c:pt idx="25">
                  <c:v>0.27233709502432324</c:v>
                </c:pt>
                <c:pt idx="26">
                  <c:v>0.24987512288862221</c:v>
                </c:pt>
                <c:pt idx="27">
                  <c:v>0.22824990693871394</c:v>
                </c:pt>
                <c:pt idx="28">
                  <c:v>0.20749962616406251</c:v>
                </c:pt>
                <c:pt idx="29">
                  <c:v>0.18764018847694475</c:v>
                </c:pt>
                <c:pt idx="30">
                  <c:v>0.16869068337209617</c:v>
                </c:pt>
                <c:pt idx="31">
                  <c:v>0.15065111084951541</c:v>
                </c:pt>
                <c:pt idx="32">
                  <c:v>0.13351828932674509</c:v>
                </c:pt>
                <c:pt idx="33">
                  <c:v>0.11728903722133355</c:v>
                </c:pt>
                <c:pt idx="34">
                  <c:v>0.1019697176981898</c:v>
                </c:pt>
                <c:pt idx="35">
                  <c:v>8.7576238669590648E-2</c:v>
                </c:pt>
                <c:pt idx="36">
                  <c:v>7.4092692223257886E-2</c:v>
                </c:pt>
                <c:pt idx="37">
                  <c:v>6.1474536204818422E-2</c:v>
                </c:pt>
                <c:pt idx="38">
                  <c:v>4.9721770614268017E-2</c:v>
                </c:pt>
                <c:pt idx="39">
                  <c:v>3.8856666528798163E-2</c:v>
                </c:pt>
                <c:pt idx="40">
                  <c:v>2.8901495025596108E-2</c:v>
                </c:pt>
                <c:pt idx="41">
                  <c:v>2.0072603711635169E-2</c:v>
                </c:pt>
                <c:pt idx="42">
                  <c:v>1.2713603492105954E-2</c:v>
                </c:pt>
                <c:pt idx="43">
                  <c:v>7.1012920406359108E-3</c:v>
                </c:pt>
                <c:pt idx="44">
                  <c:v>3.3565694905332891E-3</c:v>
                </c:pt>
                <c:pt idx="45">
                  <c:v>1.3139935541139341E-3</c:v>
                </c:pt>
                <c:pt idx="46">
                  <c:v>4.008793893916257E-4</c:v>
                </c:pt>
                <c:pt idx="47">
                  <c:v>7.6357978932343757E-5</c:v>
                </c:pt>
                <c:pt idx="48">
                  <c:v>6.3631649118528417E-6</c:v>
                </c:pt>
                <c:pt idx="49">
                  <c:v>0</c:v>
                </c:pt>
                <c:pt idx="50">
                  <c:v>6.3631649118528417E-6</c:v>
                </c:pt>
                <c:pt idx="51">
                  <c:v>8.2721143842783695E-5</c:v>
                </c:pt>
                <c:pt idx="52">
                  <c:v>4.0724255430206561E-4</c:v>
                </c:pt>
                <c:pt idx="53">
                  <c:v>1.2567250699157359E-3</c:v>
                </c:pt>
                <c:pt idx="54">
                  <c:v>2.9875059256981016E-3</c:v>
                </c:pt>
                <c:pt idx="55">
                  <c:v>5.9431960268397652E-3</c:v>
                </c:pt>
                <c:pt idx="56">
                  <c:v>1.0279692913661339E-2</c:v>
                </c:pt>
                <c:pt idx="57">
                  <c:v>1.5879278035309089E-2</c:v>
                </c:pt>
                <c:pt idx="58">
                  <c:v>2.2611506511108402E-2</c:v>
                </c:pt>
                <c:pt idx="59">
                  <c:v>3.0552736319991617E-2</c:v>
                </c:pt>
                <c:pt idx="60">
                  <c:v>3.9868409749641474E-2</c:v>
                </c:pt>
                <c:pt idx="61">
                  <c:v>5.0568071547427172E-2</c:v>
                </c:pt>
                <c:pt idx="62">
                  <c:v>6.2527639997583123E-2</c:v>
                </c:pt>
                <c:pt idx="63">
                  <c:v>7.5654849208900171E-2</c:v>
                </c:pt>
                <c:pt idx="64">
                  <c:v>8.9949699181379725E-2</c:v>
                </c:pt>
                <c:pt idx="65">
                  <c:v>0.10543446099220904</c:v>
                </c:pt>
                <c:pt idx="66">
                  <c:v>0.12207731881683309</c:v>
                </c:pt>
                <c:pt idx="67">
                  <c:v>0.13982418575351102</c:v>
                </c:pt>
                <c:pt idx="68">
                  <c:v>0.15861461173558586</c:v>
                </c:pt>
                <c:pt idx="69">
                  <c:v>0.17840405460868175</c:v>
                </c:pt>
                <c:pt idx="70">
                  <c:v>0.19915751696578909</c:v>
                </c:pt>
                <c:pt idx="71">
                  <c:v>0.22085590931217378</c:v>
                </c:pt>
                <c:pt idx="72">
                  <c:v>0.24347059740573809</c:v>
                </c:pt>
                <c:pt idx="73">
                  <c:v>0.26697931016929199</c:v>
                </c:pt>
                <c:pt idx="74">
                  <c:v>0.29135341336073778</c:v>
                </c:pt>
                <c:pt idx="75">
                  <c:v>0.31656745432043087</c:v>
                </c:pt>
                <c:pt idx="76">
                  <c:v>0.34258007247644851</c:v>
                </c:pt>
                <c:pt idx="77">
                  <c:v>0.36934672567441607</c:v>
                </c:pt>
                <c:pt idx="78">
                  <c:v>0.3968228717599564</c:v>
                </c:pt>
                <c:pt idx="79">
                  <c:v>0.42495760541378158</c:v>
                </c:pt>
                <c:pt idx="80">
                  <c:v>0.45370002131660259</c:v>
                </c:pt>
                <c:pt idx="81">
                  <c:v>0.48299285098422251</c:v>
                </c:pt>
                <c:pt idx="82">
                  <c:v>0.51276928118507548</c:v>
                </c:pt>
                <c:pt idx="83">
                  <c:v>0.54296568027005276</c:v>
                </c:pt>
                <c:pt idx="84">
                  <c:v>0.5735025086777662</c:v>
                </c:pt>
                <c:pt idx="85">
                  <c:v>0.6042938636819184</c:v>
                </c:pt>
                <c:pt idx="86">
                  <c:v>0.63524429780884428</c:v>
                </c:pt>
                <c:pt idx="87">
                  <c:v>0.66623291092523562</c:v>
                </c:pt>
                <c:pt idx="88">
                  <c:v>0.69712607656796333</c:v>
                </c:pt>
                <c:pt idx="89">
                  <c:v>0.72775198928442997</c:v>
                </c:pt>
                <c:pt idx="90">
                  <c:v>0.75791339096239629</c:v>
                </c:pt>
                <c:pt idx="91">
                  <c:v>0.78737484450015782</c:v>
                </c:pt>
                <c:pt idx="92">
                  <c:v>0.81586909697145182</c:v>
                </c:pt>
                <c:pt idx="93">
                  <c:v>0.84310344279037563</c:v>
                </c:pt>
                <c:pt idx="94">
                  <c:v>0.86878199478856755</c:v>
                </c:pt>
                <c:pt idx="95">
                  <c:v>0.89261841054503666</c:v>
                </c:pt>
                <c:pt idx="96">
                  <c:v>0.91438043454053142</c:v>
                </c:pt>
                <c:pt idx="97">
                  <c:v>0.9339185323996444</c:v>
                </c:pt>
                <c:pt idx="98">
                  <c:v>0.95117225405572159</c:v>
                </c:pt>
              </c:numCache>
            </c:numRef>
          </c:xVal>
          <c:yVal>
            <c:numRef>
              <c:f>Pressure_Station!$H$6:$H$104</c:f>
              <c:numCache>
                <c:formatCode>General</c:formatCode>
                <c:ptCount val="99"/>
                <c:pt idx="0">
                  <c:v>0.14574097464596936</c:v>
                </c:pt>
                <c:pt idx="1">
                  <c:v>0.11708318883646344</c:v>
                </c:pt>
                <c:pt idx="2">
                  <c:v>9.0238268710091205E-2</c:v>
                </c:pt>
                <c:pt idx="3">
                  <c:v>6.5546325431343019E-2</c:v>
                </c:pt>
                <c:pt idx="4">
                  <c:v>4.3313109074191496E-2</c:v>
                </c:pt>
                <c:pt idx="5">
                  <c:v>2.3751149346662222E-2</c:v>
                </c:pt>
                <c:pt idx="6">
                  <c:v>6.937440544177954E-3</c:v>
                </c:pt>
                <c:pt idx="7">
                  <c:v>-7.1811497602674423E-3</c:v>
                </c:pt>
                <c:pt idx="8">
                  <c:v>-1.8773245436815106E-2</c:v>
                </c:pt>
                <c:pt idx="9">
                  <c:v>-2.8068238580504976E-2</c:v>
                </c:pt>
                <c:pt idx="10">
                  <c:v>-3.5307929457953552E-2</c:v>
                </c:pt>
                <c:pt idx="11">
                  <c:v>-4.0728391487357657E-2</c:v>
                </c:pt>
                <c:pt idx="12">
                  <c:v>-4.45755609925262E-2</c:v>
                </c:pt>
                <c:pt idx="13">
                  <c:v>-4.7084238758673784E-2</c:v>
                </c:pt>
                <c:pt idx="14">
                  <c:v>-4.8466636335580245E-2</c:v>
                </c:pt>
                <c:pt idx="15">
                  <c:v>-4.8912057879347777E-2</c:v>
                </c:pt>
                <c:pt idx="16">
                  <c:v>-4.8581173303977702E-2</c:v>
                </c:pt>
                <c:pt idx="17">
                  <c:v>-4.7606336439618334E-2</c:v>
                </c:pt>
                <c:pt idx="18">
                  <c:v>-4.6091266874317825E-2</c:v>
                </c:pt>
                <c:pt idx="19">
                  <c:v>-4.4122821809111382E-2</c:v>
                </c:pt>
                <c:pt idx="20">
                  <c:v>-4.1780858963631241E-2</c:v>
                </c:pt>
                <c:pt idx="21">
                  <c:v>-3.9141736316809048E-2</c:v>
                </c:pt>
                <c:pt idx="22">
                  <c:v>-3.6278312106875474E-2</c:v>
                </c:pt>
                <c:pt idx="23">
                  <c:v>-3.3241173494872552E-2</c:v>
                </c:pt>
                <c:pt idx="24">
                  <c:v>-3.0048137342551129E-2</c:v>
                </c:pt>
                <c:pt idx="25">
                  <c:v>-2.6682977579388322E-2</c:v>
                </c:pt>
                <c:pt idx="26">
                  <c:v>-2.3107833374163337E-2</c:v>
                </c:pt>
                <c:pt idx="27">
                  <c:v>-1.9294388643023162E-2</c:v>
                </c:pt>
                <c:pt idx="28">
                  <c:v>-1.5238507328775018E-2</c:v>
                </c:pt>
                <c:pt idx="29">
                  <c:v>-1.0969778148255208E-2</c:v>
                </c:pt>
                <c:pt idx="30">
                  <c:v>-6.5569232825019967E-3</c:v>
                </c:pt>
                <c:pt idx="31">
                  <c:v>-2.0906178314969207E-3</c:v>
                </c:pt>
                <c:pt idx="32">
                  <c:v>2.3187372935553376E-3</c:v>
                </c:pt>
                <c:pt idx="33">
                  <c:v>6.5779217267084265E-3</c:v>
                </c:pt>
                <c:pt idx="34">
                  <c:v>1.0651619902707425E-2</c:v>
                </c:pt>
                <c:pt idx="35">
                  <c:v>1.4519151535590935E-2</c:v>
                </c:pt>
                <c:pt idx="36">
                  <c:v>1.8082842043975856E-2</c:v>
                </c:pt>
                <c:pt idx="37">
                  <c:v>2.1087846673178375E-2</c:v>
                </c:pt>
                <c:pt idx="38">
                  <c:v>2.3406583966733358E-2</c:v>
                </c:pt>
                <c:pt idx="39">
                  <c:v>2.4989421238335634E-2</c:v>
                </c:pt>
                <c:pt idx="40">
                  <c:v>2.5334304776509879E-2</c:v>
                </c:pt>
                <c:pt idx="41">
                  <c:v>2.3972905643809141E-2</c:v>
                </c:pt>
                <c:pt idx="42">
                  <c:v>2.1096755104053629E-2</c:v>
                </c:pt>
                <c:pt idx="43">
                  <c:v>1.7143002586626734E-2</c:v>
                </c:pt>
                <c:pt idx="44">
                  <c:v>1.2691014256671207E-2</c:v>
                </c:pt>
                <c:pt idx="45">
                  <c:v>8.3783792382655497E-3</c:v>
                </c:pt>
                <c:pt idx="46">
                  <c:v>4.7720555249770053E-3</c:v>
                </c:pt>
                <c:pt idx="47">
                  <c:v>2.1300694539453219E-3</c:v>
                </c:pt>
                <c:pt idx="48">
                  <c:v>5.3323321953887865E-4</c:v>
                </c:pt>
                <c:pt idx="49">
                  <c:v>0</c:v>
                </c:pt>
                <c:pt idx="50">
                  <c:v>-5.5614061321794593E-4</c:v>
                </c:pt>
                <c:pt idx="51">
                  <c:v>-2.2226535033994994E-3</c:v>
                </c:pt>
                <c:pt idx="52">
                  <c:v>-4.9820399670388316E-3</c:v>
                </c:pt>
                <c:pt idx="53">
                  <c:v>-8.7722591462538538E-3</c:v>
                </c:pt>
                <c:pt idx="54">
                  <c:v>-1.3447912722829995E-2</c:v>
                </c:pt>
                <c:pt idx="55">
                  <c:v>-1.8763382531203361E-2</c:v>
                </c:pt>
                <c:pt idx="56">
                  <c:v>-2.448100436194952E-2</c:v>
                </c:pt>
                <c:pt idx="57">
                  <c:v>-3.0556236060691865E-2</c:v>
                </c:pt>
                <c:pt idx="58">
                  <c:v>-3.7028211091632707E-2</c:v>
                </c:pt>
                <c:pt idx="59">
                  <c:v>-4.3752167453047525E-2</c:v>
                </c:pt>
                <c:pt idx="60">
                  <c:v>-5.0426172969911434E-2</c:v>
                </c:pt>
                <c:pt idx="61">
                  <c:v>-5.6895602734888175E-2</c:v>
                </c:pt>
                <c:pt idx="62">
                  <c:v>-6.3238087359890893E-2</c:v>
                </c:pt>
                <c:pt idx="63">
                  <c:v>-6.9523621658940452E-2</c:v>
                </c:pt>
                <c:pt idx="64">
                  <c:v>-7.5657076316618194E-2</c:v>
                </c:pt>
                <c:pt idx="65">
                  <c:v>-8.1484462742078628E-2</c:v>
                </c:pt>
                <c:pt idx="66">
                  <c:v>-8.6933877171827559E-2</c:v>
                </c:pt>
                <c:pt idx="67">
                  <c:v>-9.2029817790772725E-2</c:v>
                </c:pt>
                <c:pt idx="68">
                  <c:v>-9.6840052305215196E-2</c:v>
                </c:pt>
                <c:pt idx="69">
                  <c:v>-0.10140816839479615</c:v>
                </c:pt>
                <c:pt idx="70">
                  <c:v>-0.10573512053425101</c:v>
                </c:pt>
                <c:pt idx="71">
                  <c:v>-0.10978559315832484</c:v>
                </c:pt>
                <c:pt idx="72">
                  <c:v>-0.11350327225755527</c:v>
                </c:pt>
                <c:pt idx="73">
                  <c:v>-0.11681784485967606</c:v>
                </c:pt>
                <c:pt idx="74">
                  <c:v>-0.11964881692856384</c:v>
                </c:pt>
                <c:pt idx="75">
                  <c:v>-0.12191346732037549</c:v>
                </c:pt>
                <c:pt idx="76">
                  <c:v>-0.12353734700565343</c:v>
                </c:pt>
                <c:pt idx="77">
                  <c:v>-0.12446223302546189</c:v>
                </c:pt>
                <c:pt idx="78">
                  <c:v>-0.12463881085174107</c:v>
                </c:pt>
                <c:pt idx="79">
                  <c:v>-0.12402381096309661</c:v>
                </c:pt>
                <c:pt idx="80">
                  <c:v>-0.12256855514795911</c:v>
                </c:pt>
                <c:pt idx="81">
                  <c:v>-0.12021418413090278</c:v>
                </c:pt>
                <c:pt idx="82">
                  <c:v>-0.11689420283860769</c:v>
                </c:pt>
                <c:pt idx="83">
                  <c:v>-0.11253798014056227</c:v>
                </c:pt>
                <c:pt idx="84">
                  <c:v>-0.10706947621608025</c:v>
                </c:pt>
                <c:pt idx="85">
                  <c:v>-0.10040469728833697</c:v>
                </c:pt>
                <c:pt idx="86">
                  <c:v>-9.2449786674896034E-2</c:v>
                </c:pt>
                <c:pt idx="87">
                  <c:v>-8.3091798198587932E-2</c:v>
                </c:pt>
                <c:pt idx="88">
                  <c:v>-7.2200286978737344E-2</c:v>
                </c:pt>
                <c:pt idx="89">
                  <c:v>-5.9631763646602352E-2</c:v>
                </c:pt>
                <c:pt idx="90">
                  <c:v>-4.5235739352038742E-2</c:v>
                </c:pt>
                <c:pt idx="91">
                  <c:v>-2.8869042884549615E-2</c:v>
                </c:pt>
                <c:pt idx="92">
                  <c:v>-1.0413955693282644E-2</c:v>
                </c:pt>
                <c:pt idx="93">
                  <c:v>1.020556204244878E-2</c:v>
                </c:pt>
                <c:pt idx="94">
                  <c:v>3.3002872968957361E-2</c:v>
                </c:pt>
                <c:pt idx="95">
                  <c:v>5.7914345437133745E-2</c:v>
                </c:pt>
                <c:pt idx="96">
                  <c:v>8.4793944812270844E-2</c:v>
                </c:pt>
                <c:pt idx="97">
                  <c:v>0.11341927848073097</c:v>
                </c:pt>
                <c:pt idx="98">
                  <c:v>0.14351927561730671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Pressure_Station!$G$105</c:f>
              <c:strCache>
                <c:ptCount val="1"/>
                <c:pt idx="0">
                  <c:v>Flap Shape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Pressure_Station!$G$107:$G$205</c:f>
              <c:numCache>
                <c:formatCode>General</c:formatCode>
                <c:ptCount val="99"/>
                <c:pt idx="0">
                  <c:v>0.99491264965368431</c:v>
                </c:pt>
                <c:pt idx="1">
                  <c:v>0.99455631241867148</c:v>
                </c:pt>
                <c:pt idx="2">
                  <c:v>0.99357002185747134</c:v>
                </c:pt>
                <c:pt idx="3">
                  <c:v>0.99200786487183046</c:v>
                </c:pt>
                <c:pt idx="4">
                  <c:v>0.98991120203366745</c:v>
                </c:pt>
                <c:pt idx="5">
                  <c:v>0.9873277570798169</c:v>
                </c:pt>
                <c:pt idx="6">
                  <c:v>0.98430207216465326</c:v>
                </c:pt>
                <c:pt idx="7">
                  <c:v>0.9808818710250099</c:v>
                </c:pt>
                <c:pt idx="8">
                  <c:v>0.97710851423280964</c:v>
                </c:pt>
                <c:pt idx="9">
                  <c:v>0.97302018077751495</c:v>
                </c:pt>
                <c:pt idx="10">
                  <c:v>0.96865186806613834</c:v>
                </c:pt>
                <c:pt idx="11">
                  <c:v>0.96404175508814527</c:v>
                </c:pt>
                <c:pt idx="12">
                  <c:v>0.95921211292072439</c:v>
                </c:pt>
                <c:pt idx="13">
                  <c:v>0.95419475738842918</c:v>
                </c:pt>
                <c:pt idx="14">
                  <c:v>0.94900877798599537</c:v>
                </c:pt>
                <c:pt idx="15">
                  <c:v>0.94367962737306321</c:v>
                </c:pt>
                <c:pt idx="16">
                  <c:v>0.93822639504436689</c:v>
                </c:pt>
                <c:pt idx="17">
                  <c:v>0.93266498891218463</c:v>
                </c:pt>
                <c:pt idx="18">
                  <c:v>0.92701449847124906</c:v>
                </c:pt>
                <c:pt idx="19">
                  <c:v>0.92128446846892675</c:v>
                </c:pt>
                <c:pt idx="20">
                  <c:v>0.91549080681749428</c:v>
                </c:pt>
                <c:pt idx="21">
                  <c:v>0.90963351351695321</c:v>
                </c:pt>
                <c:pt idx="22">
                  <c:v>0.90372213331466855</c:v>
                </c:pt>
                <c:pt idx="23">
                  <c:v>0.89774712146327373</c:v>
                </c:pt>
                <c:pt idx="24">
                  <c:v>0.89171484112768074</c:v>
                </c:pt>
                <c:pt idx="25">
                  <c:v>0.88561574756052175</c:v>
                </c:pt>
                <c:pt idx="26">
                  <c:v>0.87945302234425415</c:v>
                </c:pt>
                <c:pt idx="27">
                  <c:v>0.87322666547887651</c:v>
                </c:pt>
                <c:pt idx="28">
                  <c:v>0.86692713221702244</c:v>
                </c:pt>
                <c:pt idx="29">
                  <c:v>0.8605448778113256</c:v>
                </c:pt>
                <c:pt idx="30">
                  <c:v>0.85408308384424181</c:v>
                </c:pt>
                <c:pt idx="31">
                  <c:v>0.84767537677890181</c:v>
                </c:pt>
                <c:pt idx="32">
                  <c:v>0.84160173587138742</c:v>
                </c:pt>
                <c:pt idx="33">
                  <c:v>0.83607850872867207</c:v>
                </c:pt>
                <c:pt idx="34">
                  <c:v>0.83100070312972274</c:v>
                </c:pt>
                <c:pt idx="35">
                  <c:v>0.82623469261141047</c:v>
                </c:pt>
                <c:pt idx="36">
                  <c:v>0.82184729040530258</c:v>
                </c:pt>
                <c:pt idx="37">
                  <c:v>0.81791485449032708</c:v>
                </c:pt>
                <c:pt idx="38">
                  <c:v>0.81448510860331735</c:v>
                </c:pt>
                <c:pt idx="39">
                  <c:v>0.81162486597583938</c:v>
                </c:pt>
                <c:pt idx="40">
                  <c:v>0.80934367135525942</c:v>
                </c:pt>
                <c:pt idx="41">
                  <c:v>0.80760016416965485</c:v>
                </c:pt>
                <c:pt idx="42">
                  <c:v>0.80633389435237268</c:v>
                </c:pt>
                <c:pt idx="43">
                  <c:v>0.80546214075957179</c:v>
                </c:pt>
                <c:pt idx="44">
                  <c:v>0.80491172699477287</c:v>
                </c:pt>
                <c:pt idx="45">
                  <c:v>0.80460311349659031</c:v>
                </c:pt>
                <c:pt idx="46">
                  <c:v>0.80445357912118298</c:v>
                </c:pt>
                <c:pt idx="47">
                  <c:v>0.8043963106369848</c:v>
                </c:pt>
                <c:pt idx="48">
                  <c:v>0.8043835843071625</c:v>
                </c:pt>
                <c:pt idx="49">
                  <c:v>0.8043835843071625</c:v>
                </c:pt>
                <c:pt idx="50">
                  <c:v>0.8043835843071625</c:v>
                </c:pt>
                <c:pt idx="51">
                  <c:v>0.80440267380189523</c:v>
                </c:pt>
                <c:pt idx="52">
                  <c:v>0.80448539494573801</c:v>
                </c:pt>
                <c:pt idx="53">
                  <c:v>0.80471128730007768</c:v>
                </c:pt>
                <c:pt idx="54">
                  <c:v>0.8051885246684003</c:v>
                </c:pt>
                <c:pt idx="55">
                  <c:v>0.80606982300856755</c:v>
                </c:pt>
                <c:pt idx="56">
                  <c:v>0.80751744302581208</c:v>
                </c:pt>
                <c:pt idx="57">
                  <c:v>0.80967137434817327</c:v>
                </c:pt>
                <c:pt idx="58">
                  <c:v>0.81257934071248306</c:v>
                </c:pt>
                <c:pt idx="59">
                  <c:v>0.81623497895383246</c:v>
                </c:pt>
                <c:pt idx="60">
                  <c:v>0.82062238115994179</c:v>
                </c:pt>
                <c:pt idx="61">
                  <c:v>0.8257320025834447</c:v>
                </c:pt>
                <c:pt idx="62">
                  <c:v>0.83152566423487717</c:v>
                </c:pt>
                <c:pt idx="63">
                  <c:v>0.83795564237740583</c:v>
                </c:pt>
                <c:pt idx="64">
                  <c:v>0.84495194219701031</c:v>
                </c:pt>
                <c:pt idx="65">
                  <c:v>0.85244775046212462</c:v>
                </c:pt>
                <c:pt idx="66">
                  <c:v>0.86034761969908635</c:v>
                </c:pt>
                <c:pt idx="67">
                  <c:v>0.86853064977458472</c:v>
                </c:pt>
                <c:pt idx="68">
                  <c:v>0.87687912213776853</c:v>
                </c:pt>
                <c:pt idx="69">
                  <c:v>0.88529440773251844</c:v>
                </c:pt>
                <c:pt idx="70">
                  <c:v>0.89370333016235637</c:v>
                </c:pt>
                <c:pt idx="71">
                  <c:v>0.90202953144835163</c:v>
                </c:pt>
                <c:pt idx="72">
                  <c:v>0.91021256152385133</c:v>
                </c:pt>
                <c:pt idx="73">
                  <c:v>0.91818560715728814</c:v>
                </c:pt>
                <c:pt idx="74">
                  <c:v>0.9258882182820094</c:v>
                </c:pt>
                <c:pt idx="75">
                  <c:v>0.93326948957872724</c:v>
                </c:pt>
                <c:pt idx="76">
                  <c:v>0.94028487889306445</c:v>
                </c:pt>
                <c:pt idx="77">
                  <c:v>0.94688984407064369</c:v>
                </c:pt>
                <c:pt idx="78">
                  <c:v>0.95305256928691129</c:v>
                </c:pt>
                <c:pt idx="79">
                  <c:v>0.95876350979450087</c:v>
                </c:pt>
                <c:pt idx="80">
                  <c:v>0.96401630242850211</c:v>
                </c:pt>
                <c:pt idx="81">
                  <c:v>0.96882685510119038</c:v>
                </c:pt>
                <c:pt idx="82">
                  <c:v>0.97320471255993335</c:v>
                </c:pt>
                <c:pt idx="83">
                  <c:v>0.97716896429946376</c:v>
                </c:pt>
                <c:pt idx="84">
                  <c:v>0.98072597348469215</c:v>
                </c:pt>
                <c:pt idx="85">
                  <c:v>0.98389801119280718</c:v>
                </c:pt>
                <c:pt idx="86">
                  <c:v>0.98671371166590782</c:v>
                </c:pt>
                <c:pt idx="87">
                  <c:v>0.98919216439872837</c:v>
                </c:pt>
                <c:pt idx="88">
                  <c:v>0.99137154838073416</c:v>
                </c:pt>
                <c:pt idx="89">
                  <c:v>0.99327413468911108</c:v>
                </c:pt>
                <c:pt idx="90">
                  <c:v>0.99492537598350661</c:v>
                </c:pt>
                <c:pt idx="91">
                  <c:v>0.99634436175865204</c:v>
                </c:pt>
                <c:pt idx="92">
                  <c:v>0.99755018150927854</c:v>
                </c:pt>
                <c:pt idx="93">
                  <c:v>0.99855237998275548</c:v>
                </c:pt>
                <c:pt idx="94">
                  <c:v>0.99934777559662691</c:v>
                </c:pt>
                <c:pt idx="95">
                  <c:v>0.99993000518597952</c:v>
                </c:pt>
                <c:pt idx="96">
                  <c:v>1.0002704345087157</c:v>
                </c:pt>
                <c:pt idx="97">
                  <c:v>1.000314976663093</c:v>
                </c:pt>
                <c:pt idx="98">
                  <c:v>1</c:v>
                </c:pt>
              </c:numCache>
            </c:numRef>
          </c:xVal>
          <c:yVal>
            <c:numRef>
              <c:f>Pressure_Station!$H$107:$H$205</c:f>
              <c:numCache>
                <c:formatCode>General</c:formatCode>
                <c:ptCount val="99"/>
                <c:pt idx="0">
                  <c:v>0.49265181716081941</c:v>
                </c:pt>
                <c:pt idx="1">
                  <c:v>0.47974000108173775</c:v>
                </c:pt>
                <c:pt idx="2">
                  <c:v>0.46687368163176995</c:v>
                </c:pt>
                <c:pt idx="3">
                  <c:v>0.45409167411687218</c:v>
                </c:pt>
                <c:pt idx="4">
                  <c:v>0.4414261125198452</c:v>
                </c:pt>
                <c:pt idx="5">
                  <c:v>0.42890499476629662</c:v>
                </c:pt>
                <c:pt idx="6">
                  <c:v>0.41655091009166129</c:v>
                </c:pt>
                <c:pt idx="7">
                  <c:v>0.40438294799067148</c:v>
                </c:pt>
                <c:pt idx="8">
                  <c:v>0.39241638005911361</c:v>
                </c:pt>
                <c:pt idx="9">
                  <c:v>0.38066456894330108</c:v>
                </c:pt>
                <c:pt idx="10">
                  <c:v>0.36913896834007298</c:v>
                </c:pt>
                <c:pt idx="11">
                  <c:v>0.3578500774715328</c:v>
                </c:pt>
                <c:pt idx="12">
                  <c:v>0.34680807740153802</c:v>
                </c:pt>
                <c:pt idx="13">
                  <c:v>0.33602251287745499</c:v>
                </c:pt>
                <c:pt idx="14">
                  <c:v>0.32550197417191368</c:v>
                </c:pt>
                <c:pt idx="15">
                  <c:v>0.31525568787403463</c:v>
                </c:pt>
                <c:pt idx="16">
                  <c:v>0.30529351688943029</c:v>
                </c:pt>
                <c:pt idx="17">
                  <c:v>0.29562468780722173</c:v>
                </c:pt>
                <c:pt idx="18">
                  <c:v>0.28625874537477447</c:v>
                </c:pt>
                <c:pt idx="19">
                  <c:v>0.27720587065594687</c:v>
                </c:pt>
                <c:pt idx="20">
                  <c:v>0.26847815366406924</c:v>
                </c:pt>
                <c:pt idx="21">
                  <c:v>0.26009086599492848</c:v>
                </c:pt>
                <c:pt idx="22">
                  <c:v>0.25206341530150256</c:v>
                </c:pt>
                <c:pt idx="23">
                  <c:v>0.24441775450273451</c:v>
                </c:pt>
                <c:pt idx="24">
                  <c:v>0.23717997257475928</c:v>
                </c:pt>
                <c:pt idx="25">
                  <c:v>0.23037870375967598</c:v>
                </c:pt>
                <c:pt idx="26">
                  <c:v>0.22404544572379423</c:v>
                </c:pt>
                <c:pt idx="27">
                  <c:v>0.21821392324114172</c:v>
                </c:pt>
                <c:pt idx="28">
                  <c:v>0.21293758689697068</c:v>
                </c:pt>
                <c:pt idx="29">
                  <c:v>0.2082991578351242</c:v>
                </c:pt>
                <c:pt idx="30">
                  <c:v>0.20437913009172498</c:v>
                </c:pt>
                <c:pt idx="31">
                  <c:v>0.20105214931802801</c:v>
                </c:pt>
                <c:pt idx="32">
                  <c:v>0.19783652393027254</c:v>
                </c:pt>
                <c:pt idx="33">
                  <c:v>0.19437209879449832</c:v>
                </c:pt>
                <c:pt idx="34">
                  <c:v>0.19088731153100949</c:v>
                </c:pt>
                <c:pt idx="35">
                  <c:v>0.18759946422151447</c:v>
                </c:pt>
                <c:pt idx="36">
                  <c:v>0.18441724544954163</c:v>
                </c:pt>
                <c:pt idx="37">
                  <c:v>0.18126938776808829</c:v>
                </c:pt>
                <c:pt idx="38">
                  <c:v>0.17812089377014351</c:v>
                </c:pt>
                <c:pt idx="39">
                  <c:v>0.17495712817641229</c:v>
                </c:pt>
                <c:pt idx="40">
                  <c:v>0.17182867814793742</c:v>
                </c:pt>
                <c:pt idx="41">
                  <c:v>0.16882144641101582</c:v>
                </c:pt>
                <c:pt idx="42">
                  <c:v>0.16601910858422783</c:v>
                </c:pt>
                <c:pt idx="43">
                  <c:v>0.16349293211457513</c:v>
                </c:pt>
                <c:pt idx="44">
                  <c:v>0.16129509495432839</c:v>
                </c:pt>
                <c:pt idx="45">
                  <c:v>0.15946441240944423</c:v>
                </c:pt>
                <c:pt idx="46">
                  <c:v>0.15802570082307535</c:v>
                </c:pt>
                <c:pt idx="47">
                  <c:v>0.15699295915802597</c:v>
                </c:pt>
                <c:pt idx="48">
                  <c:v>0.15637191426271607</c:v>
                </c:pt>
                <c:pt idx="49">
                  <c:v>0.1561647932448641</c:v>
                </c:pt>
                <c:pt idx="50">
                  <c:v>0.15591249375614438</c:v>
                </c:pt>
                <c:pt idx="51">
                  <c:v>0.1551565497647221</c:v>
                </c:pt>
                <c:pt idx="52">
                  <c:v>0.15389950653656134</c:v>
                </c:pt>
                <c:pt idx="53">
                  <c:v>0.15215249961025606</c:v>
                </c:pt>
                <c:pt idx="54">
                  <c:v>0.14994257243667852</c:v>
                </c:pt>
                <c:pt idx="55">
                  <c:v>0.14732858429125481</c:v>
                </c:pt>
                <c:pt idx="56">
                  <c:v>0.14441680002799795</c:v>
                </c:pt>
                <c:pt idx="57">
                  <c:v>0.14135389059810574</c:v>
                </c:pt>
                <c:pt idx="58">
                  <c:v>0.1382814364208472</c:v>
                </c:pt>
                <c:pt idx="59">
                  <c:v>0.13530442971725268</c:v>
                </c:pt>
                <c:pt idx="60">
                  <c:v>0.13252531744238949</c:v>
                </c:pt>
                <c:pt idx="61">
                  <c:v>0.1300716810527221</c:v>
                </c:pt>
                <c:pt idx="62">
                  <c:v>0.12805964830787553</c:v>
                </c:pt>
                <c:pt idx="63">
                  <c:v>0.12657703088362082</c:v>
                </c:pt>
                <c:pt idx="64">
                  <c:v>0.12570686808204679</c:v>
                </c:pt>
                <c:pt idx="65">
                  <c:v>0.12556783292874232</c:v>
                </c:pt>
                <c:pt idx="66">
                  <c:v>0.12631327769806139</c:v>
                </c:pt>
                <c:pt idx="67">
                  <c:v>0.1280485127692812</c:v>
                </c:pt>
                <c:pt idx="68">
                  <c:v>0.13079867264379955</c:v>
                </c:pt>
                <c:pt idx="69">
                  <c:v>0.1345268509651332</c:v>
                </c:pt>
                <c:pt idx="70">
                  <c:v>0.13918023346452066</c:v>
                </c:pt>
                <c:pt idx="71">
                  <c:v>0.14472191378547875</c:v>
                </c:pt>
                <c:pt idx="72">
                  <c:v>0.15112198505292576</c:v>
                </c:pt>
                <c:pt idx="73">
                  <c:v>0.1583499040752889</c:v>
                </c:pt>
                <c:pt idx="74">
                  <c:v>0.16637512766099607</c:v>
                </c:pt>
                <c:pt idx="75">
                  <c:v>0.17516074945356333</c:v>
                </c:pt>
                <c:pt idx="76">
                  <c:v>0.18466668151405152</c:v>
                </c:pt>
                <c:pt idx="77">
                  <c:v>0.19485379037825831</c:v>
                </c:pt>
                <c:pt idx="78">
                  <c:v>0.20567657941707065</c:v>
                </c:pt>
                <c:pt idx="79">
                  <c:v>0.21708509778593685</c:v>
                </c:pt>
                <c:pt idx="80">
                  <c:v>0.22902684937434195</c:v>
                </c:pt>
                <c:pt idx="81">
                  <c:v>0.24144997438826132</c:v>
                </c:pt>
                <c:pt idx="82">
                  <c:v>0.25430802172384498</c:v>
                </c:pt>
                <c:pt idx="83">
                  <c:v>0.2675593126509262</c:v>
                </c:pt>
                <c:pt idx="84">
                  <c:v>0.28116598633828488</c:v>
                </c:pt>
                <c:pt idx="85">
                  <c:v>0.29509240906241935</c:v>
                </c:pt>
                <c:pt idx="86">
                  <c:v>0.309303901574565</c:v>
                </c:pt>
                <c:pt idx="87">
                  <c:v>0.32376928436665831</c:v>
                </c:pt>
                <c:pt idx="88">
                  <c:v>0.33845992319659951</c:v>
                </c:pt>
                <c:pt idx="89">
                  <c:v>0.35334909277176285</c:v>
                </c:pt>
                <c:pt idx="90">
                  <c:v>0.36841229490724092</c:v>
                </c:pt>
                <c:pt idx="91">
                  <c:v>0.3836278948423365</c:v>
                </c:pt>
                <c:pt idx="92">
                  <c:v>0.39897457597459818</c:v>
                </c:pt>
                <c:pt idx="93">
                  <c:v>0.41443229433455603</c:v>
                </c:pt>
                <c:pt idx="94">
                  <c:v>0.42998259674396838</c:v>
                </c:pt>
                <c:pt idx="95">
                  <c:v>0.44560703002459362</c:v>
                </c:pt>
                <c:pt idx="96">
                  <c:v>0.46128714099818952</c:v>
                </c:pt>
                <c:pt idx="97">
                  <c:v>0.47700288569528709</c:v>
                </c:pt>
                <c:pt idx="98">
                  <c:v>0.49273135672220625</c:v>
                </c:pt>
              </c:numCache>
            </c:numRef>
          </c:yVal>
          <c:smooth val="0"/>
        </c:ser>
        <c:ser>
          <c:idx val="3"/>
          <c:order val="2"/>
          <c:tx>
            <c:strRef>
              <c:f>Pressure_Station!$I$232</c:f>
              <c:strCache>
                <c:ptCount val="1"/>
                <c:pt idx="0">
                  <c:v>25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dLbls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Pressure_Station!$G$232</c:f>
              <c:numCache>
                <c:formatCode>General</c:formatCode>
                <c:ptCount val="1"/>
                <c:pt idx="0">
                  <c:v>0.9951130893483795</c:v>
                </c:pt>
              </c:numCache>
            </c:numRef>
          </c:xVal>
          <c:yVal>
            <c:numRef>
              <c:f>Pressure_Station!$H$232</c:f>
              <c:numCache>
                <c:formatCode>General</c:formatCode>
                <c:ptCount val="1"/>
                <c:pt idx="0">
                  <c:v>0.37029770067035955</c:v>
                </c:pt>
              </c:numCache>
            </c:numRef>
          </c:yVal>
          <c:smooth val="0"/>
        </c:ser>
        <c:ser>
          <c:idx val="4"/>
          <c:order val="3"/>
          <c:tx>
            <c:strRef>
              <c:f>Pressure_Station!$I$233</c:f>
              <c:strCache>
                <c:ptCount val="1"/>
                <c:pt idx="0">
                  <c:v>26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dLbls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Pressure_Station!$G$233</c:f>
              <c:numCache>
                <c:formatCode>General</c:formatCode>
                <c:ptCount val="1"/>
                <c:pt idx="0">
                  <c:v>0.97895065047453245</c:v>
                </c:pt>
              </c:numCache>
            </c:numRef>
          </c:xVal>
          <c:yVal>
            <c:numRef>
              <c:f>Pressure_Station!$H$233</c:f>
              <c:numCache>
                <c:formatCode>General</c:formatCode>
                <c:ptCount val="1"/>
                <c:pt idx="0">
                  <c:v>0.27414677912500135</c:v>
                </c:pt>
              </c:numCache>
            </c:numRef>
          </c:yVal>
          <c:smooth val="0"/>
        </c:ser>
        <c:ser>
          <c:idx val="2"/>
          <c:order val="10"/>
          <c:tx>
            <c:strRef>
              <c:f>Pressure_Station!$I$208</c:f>
              <c:strCache>
                <c:ptCount val="1"/>
                <c:pt idx="0">
                  <c:v>3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dLbls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Pressure_Station!$G$208</c:f>
              <c:numCache>
                <c:formatCode>General</c:formatCode>
                <c:ptCount val="1"/>
                <c:pt idx="0">
                  <c:v>0.73678132029308741</c:v>
                </c:pt>
              </c:numCache>
            </c:numRef>
          </c:xVal>
          <c:yVal>
            <c:numRef>
              <c:f>Pressure_Station!$H$208</c:f>
              <c:numCache>
                <c:formatCode>General</c:formatCode>
                <c:ptCount val="1"/>
                <c:pt idx="0">
                  <c:v>-5.5548520723236981E-2</c:v>
                </c:pt>
              </c:numCache>
            </c:numRef>
          </c:yVal>
          <c:smooth val="0"/>
        </c:ser>
        <c:ser>
          <c:idx val="5"/>
          <c:order val="11"/>
          <c:tx>
            <c:strRef>
              <c:f>Pressure_Station!$I$209</c:f>
              <c:strCache>
                <c:ptCount val="1"/>
                <c:pt idx="0">
                  <c:v>1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dLbls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Pressure_Station!$G$209</c:f>
              <c:numCache>
                <c:formatCode>General</c:formatCode>
                <c:ptCount val="1"/>
                <c:pt idx="0">
                  <c:v>0.48221972644754119</c:v>
                </c:pt>
              </c:numCache>
            </c:numRef>
          </c:xVal>
          <c:yVal>
            <c:numRef>
              <c:f>Pressure_Station!$H$209</c:f>
              <c:numCache>
                <c:formatCode>General</c:formatCode>
                <c:ptCount val="1"/>
                <c:pt idx="0">
                  <c:v>-0.12028767868562457</c:v>
                </c:pt>
              </c:numCache>
            </c:numRef>
          </c:yVal>
          <c:smooth val="0"/>
        </c:ser>
        <c:ser>
          <c:idx val="6"/>
          <c:order val="12"/>
          <c:tx>
            <c:strRef>
              <c:f>Pressure_Station!$I$210</c:f>
              <c:strCache>
                <c:ptCount val="1"/>
                <c:pt idx="0">
                  <c:v>16</c:v>
                </c:pt>
              </c:strCache>
            </c:strRef>
          </c:tx>
          <c:spPr>
            <a:ln w="28575">
              <a:solidFill>
                <a:sysClr val="windowText" lastClr="000000">
                  <a:lumMod val="100000"/>
                </a:sysClr>
              </a:solidFill>
            </a:ln>
          </c:spPr>
          <c:marker>
            <c:symbol val="circle"/>
            <c:size val="5"/>
            <c:spPr>
              <a:noFill/>
              <a:ln>
                <a:solidFill>
                  <a:sysClr val="windowText" lastClr="000000">
                    <a:lumMod val="100000"/>
                  </a:sysClr>
                </a:solidFill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4F81BD">
                        <a:shade val="86000"/>
                      </a:srgbClr>
                    </a:solidFill>
                  </a14:hiddenFill>
                </a:ext>
              </a:extLst>
            </c:spPr>
          </c:marker>
          <c:dLbls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Pressure_Station!$G$210</c:f>
              <c:numCache>
                <c:formatCode>General</c:formatCode>
                <c:ptCount val="1"/>
                <c:pt idx="0">
                  <c:v>0.35498824405282786</c:v>
                </c:pt>
              </c:numCache>
            </c:numRef>
          </c:xVal>
          <c:yVal>
            <c:numRef>
              <c:f>Pressure_Station!$H$210</c:f>
              <c:numCache>
                <c:formatCode>General</c:formatCode>
                <c:ptCount val="1"/>
                <c:pt idx="0">
                  <c:v>-0.12405944468659798</c:v>
                </c:pt>
              </c:numCache>
            </c:numRef>
          </c:yVal>
          <c:smooth val="0"/>
        </c:ser>
        <c:ser>
          <c:idx val="7"/>
          <c:order val="13"/>
          <c:tx>
            <c:strRef>
              <c:f>Pressure_Station!$I$211</c:f>
              <c:strCache>
                <c:ptCount val="1"/>
                <c:pt idx="0">
                  <c:v>15</c:v>
                </c:pt>
              </c:strCache>
            </c:strRef>
          </c:tx>
          <c:spPr>
            <a:ln w="28575">
              <a:solidFill>
                <a:sysClr val="windowText" lastClr="000000">
                  <a:lumMod val="100000"/>
                </a:sysClr>
              </a:solidFill>
            </a:ln>
          </c:spPr>
          <c:marker>
            <c:symbol val="circle"/>
            <c:size val="5"/>
            <c:spPr>
              <a:noFill/>
              <a:ln>
                <a:solidFill>
                  <a:sysClr val="windowText" lastClr="000000">
                    <a:lumMod val="100000"/>
                  </a:sysClr>
                </a:solidFill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C0504D">
                        <a:shade val="86000"/>
                      </a:srgbClr>
                    </a:solidFill>
                  </a14:hiddenFill>
                </a:ext>
              </a:extLst>
            </c:spPr>
          </c:marker>
          <c:dLbls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Pressure_Station!$G$211</c:f>
              <c:numCache>
                <c:formatCode>General</c:formatCode>
                <c:ptCount val="1"/>
                <c:pt idx="0">
                  <c:v>0.23053746472420431</c:v>
                </c:pt>
              </c:numCache>
            </c:numRef>
          </c:xVal>
          <c:yVal>
            <c:numRef>
              <c:f>Pressure_Station!$H$211</c:f>
              <c:numCache>
                <c:formatCode>General</c:formatCode>
                <c:ptCount val="1"/>
                <c:pt idx="0">
                  <c:v>-0.11144001603517523</c:v>
                </c:pt>
              </c:numCache>
            </c:numRef>
          </c:yVal>
          <c:smooth val="0"/>
        </c:ser>
        <c:ser>
          <c:idx val="10"/>
          <c:order val="14"/>
          <c:tx>
            <c:strRef>
              <c:f>Pressure_Station!$I$212</c:f>
              <c:strCache>
                <c:ptCount val="1"/>
                <c:pt idx="0">
                  <c:v>14</c:v>
                </c:pt>
              </c:strCache>
            </c:strRef>
          </c:tx>
          <c:spPr>
            <a:ln w="28575">
              <a:solidFill>
                <a:sysClr val="windowText" lastClr="000000">
                  <a:lumMod val="100000"/>
                </a:sysClr>
              </a:solidFill>
            </a:ln>
          </c:spPr>
          <c:marker>
            <c:symbol val="circle"/>
            <c:size val="5"/>
            <c:spPr>
              <a:noFill/>
              <a:ln>
                <a:solidFill>
                  <a:sysClr val="windowText" lastClr="000000">
                    <a:lumMod val="100000"/>
                  </a:sysClr>
                </a:solidFill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4BACC6">
                        <a:shade val="86000"/>
                      </a:srgbClr>
                    </a:solidFill>
                  </a14:hiddenFill>
                </a:ext>
              </a:extLst>
            </c:spPr>
          </c:marker>
          <c:dLbls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Pressure_Station!$G$212</c:f>
              <c:numCache>
                <c:formatCode>General</c:formatCode>
                <c:ptCount val="1"/>
                <c:pt idx="0">
                  <c:v>0.13239519071996131</c:v>
                </c:pt>
              </c:numCache>
            </c:numRef>
          </c:xVal>
          <c:yVal>
            <c:numRef>
              <c:f>Pressure_Station!$H$212</c:f>
              <c:numCache>
                <c:formatCode>General</c:formatCode>
                <c:ptCount val="1"/>
                <c:pt idx="0">
                  <c:v>-8.9972606575058095E-2</c:v>
                </c:pt>
              </c:numCache>
            </c:numRef>
          </c:yVal>
          <c:smooth val="0"/>
        </c:ser>
        <c:ser>
          <c:idx val="11"/>
          <c:order val="15"/>
          <c:tx>
            <c:strRef>
              <c:f>Pressure_Station!$I$213</c:f>
              <c:strCache>
                <c:ptCount val="1"/>
                <c:pt idx="0">
                  <c:v>13</c:v>
                </c:pt>
              </c:strCache>
            </c:strRef>
          </c:tx>
          <c:spPr>
            <a:ln w="28575">
              <a:solidFill>
                <a:sysClr val="windowText" lastClr="000000">
                  <a:lumMod val="100000"/>
                </a:sysClr>
              </a:solidFill>
            </a:ln>
          </c:spPr>
          <c:marker>
            <c:symbol val="circle"/>
            <c:size val="5"/>
            <c:spPr>
              <a:noFill/>
              <a:ln>
                <a:solidFill>
                  <a:sysClr val="windowText" lastClr="000000">
                    <a:lumMod val="100000"/>
                  </a:sysClr>
                </a:solidFill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79646">
                        <a:shade val="86000"/>
                      </a:srgbClr>
                    </a:solidFill>
                  </a14:hiddenFill>
                </a:ext>
              </a:extLst>
            </c:spPr>
          </c:marker>
          <c:dLbls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Pressure_Station!$G$213</c:f>
              <c:numCache>
                <c:formatCode>General</c:formatCode>
                <c:ptCount val="1"/>
                <c:pt idx="0">
                  <c:v>6.8881260161179472E-2</c:v>
                </c:pt>
              </c:numCache>
            </c:numRef>
          </c:xVal>
          <c:yVal>
            <c:numRef>
              <c:f>Pressure_Station!$H$213</c:f>
              <c:numCache>
                <c:formatCode>General</c:formatCode>
                <c:ptCount val="1"/>
                <c:pt idx="0">
                  <c:v>-6.6358583432227364E-2</c:v>
                </c:pt>
              </c:numCache>
            </c:numRef>
          </c:yVal>
          <c:smooth val="0"/>
        </c:ser>
        <c:ser>
          <c:idx val="12"/>
          <c:order val="16"/>
          <c:tx>
            <c:strRef>
              <c:f>Pressure_Station!$I$214</c:f>
              <c:strCache>
                <c:ptCount val="1"/>
                <c:pt idx="0">
                  <c:v>8</c:v>
                </c:pt>
              </c:strCache>
            </c:strRef>
          </c:tx>
          <c:spPr>
            <a:ln w="28575">
              <a:solidFill>
                <a:sysClr val="windowText" lastClr="000000">
                  <a:lumMod val="100000"/>
                </a:sysClr>
              </a:solidFill>
            </a:ln>
          </c:spPr>
          <c:marker>
            <c:symbol val="circle"/>
            <c:size val="5"/>
            <c:spPr>
              <a:noFill/>
              <a:ln>
                <a:solidFill>
                  <a:sysClr val="windowText" lastClr="000000">
                    <a:lumMod val="100000"/>
                  </a:sysClr>
                </a:solidFill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4F81BD">
                        <a:tint val="86000"/>
                      </a:srgbClr>
                    </a:solidFill>
                  </a14:hiddenFill>
                </a:ext>
              </a:extLst>
            </c:spPr>
          </c:marker>
          <c:dLbls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Pressure_Station!$G$214</c:f>
              <c:numCache>
                <c:formatCode>General</c:formatCode>
                <c:ptCount val="1"/>
                <c:pt idx="0">
                  <c:v>3.7189517322125852E-2</c:v>
                </c:pt>
              </c:numCache>
            </c:numRef>
          </c:xVal>
          <c:yVal>
            <c:numRef>
              <c:f>Pressure_Station!$H$214</c:f>
              <c:numCache>
                <c:formatCode>General</c:formatCode>
                <c:ptCount val="1"/>
                <c:pt idx="0">
                  <c:v>-4.8627624407827655E-2</c:v>
                </c:pt>
              </c:numCache>
            </c:numRef>
          </c:yVal>
          <c:smooth val="0"/>
        </c:ser>
        <c:ser>
          <c:idx val="15"/>
          <c:order val="17"/>
          <c:tx>
            <c:strRef>
              <c:f>Pressure_Station!$I$215</c:f>
              <c:strCache>
                <c:ptCount val="1"/>
                <c:pt idx="0">
                  <c:v>12</c:v>
                </c:pt>
              </c:strCache>
            </c:strRef>
          </c:tx>
          <c:spPr>
            <a:ln w="28575">
              <a:solidFill>
                <a:sysClr val="windowText" lastClr="000000">
                  <a:lumMod val="100000"/>
                </a:sysClr>
              </a:solidFill>
            </a:ln>
          </c:spPr>
          <c:marker>
            <c:symbol val="circle"/>
            <c:size val="5"/>
            <c:spPr>
              <a:noFill/>
              <a:ln>
                <a:solidFill>
                  <a:sysClr val="windowText" lastClr="000000">
                    <a:lumMod val="100000"/>
                  </a:sysClr>
                </a:solidFill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8064A2">
                        <a:tint val="86000"/>
                      </a:srgbClr>
                    </a:solidFill>
                  </a14:hiddenFill>
                </a:ext>
              </a:extLst>
            </c:spPr>
          </c:marker>
          <c:dLbls>
            <c:dLbl>
              <c:idx val="0"/>
              <c:layout>
                <c:manualLayout>
                  <c:x val="-4.4124374255994928E-2"/>
                  <c:y val="1.7234312426605641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</c:dLbl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Pressure_Station!$G$215</c:f>
              <c:numCache>
                <c:formatCode>General</c:formatCode>
                <c:ptCount val="1"/>
                <c:pt idx="0">
                  <c:v>2.9719161716654754E-2</c:v>
                </c:pt>
              </c:numCache>
            </c:numRef>
          </c:xVal>
          <c:yVal>
            <c:numRef>
              <c:f>Pressure_Station!$H$215</c:f>
              <c:numCache>
                <c:formatCode>General</c:formatCode>
                <c:ptCount val="1"/>
                <c:pt idx="0">
                  <c:v>-4.3094852517745176E-2</c:v>
                </c:pt>
              </c:numCache>
            </c:numRef>
          </c:yVal>
          <c:smooth val="0"/>
        </c:ser>
        <c:ser>
          <c:idx val="16"/>
          <c:order val="18"/>
          <c:tx>
            <c:strRef>
              <c:f>Pressure_Station!$I$216</c:f>
              <c:strCache>
                <c:ptCount val="1"/>
                <c:pt idx="0">
                  <c:v>7</c:v>
                </c:pt>
              </c:strCache>
            </c:strRef>
          </c:tx>
          <c:spPr>
            <a:ln w="28575">
              <a:solidFill>
                <a:sysClr val="windowText" lastClr="000000">
                  <a:lumMod val="100000"/>
                </a:sysClr>
              </a:solidFill>
            </a:ln>
          </c:spPr>
          <c:marker>
            <c:symbol val="circle"/>
            <c:size val="5"/>
            <c:spPr>
              <a:noFill/>
              <a:ln>
                <a:solidFill>
                  <a:sysClr val="windowText" lastClr="000000">
                    <a:lumMod val="100000"/>
                  </a:sysClr>
                </a:solidFill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4BACC6">
                        <a:tint val="86000"/>
                      </a:srgbClr>
                    </a:solidFill>
                  </a14:hiddenFill>
                </a:ext>
              </a:extLst>
            </c:spPr>
          </c:marker>
          <c:dLbls>
            <c:dLbl>
              <c:idx val="0"/>
              <c:layout>
                <c:manualLayout>
                  <c:x val="-4.0475546878539014E-2"/>
                  <c:y val="9.9948059377916957E-3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</c:dLbl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Pressure_Station!$G$216</c:f>
              <c:numCache>
                <c:formatCode>General</c:formatCode>
                <c:ptCount val="1"/>
                <c:pt idx="0">
                  <c:v>2.0091693206367903E-2</c:v>
                </c:pt>
              </c:numCache>
            </c:numRef>
          </c:xVal>
          <c:yVal>
            <c:numRef>
              <c:f>Pressure_Station!$H$216</c:f>
              <c:numCache>
                <c:formatCode>General</c:formatCode>
                <c:ptCount val="1"/>
                <c:pt idx="0">
                  <c:v>-3.4690066145099258E-2</c:v>
                </c:pt>
              </c:numCache>
            </c:numRef>
          </c:yVal>
          <c:smooth val="0"/>
        </c:ser>
        <c:ser>
          <c:idx val="17"/>
          <c:order val="19"/>
          <c:tx>
            <c:strRef>
              <c:f>Pressure_Station!$I$217</c:f>
              <c:strCache>
                <c:ptCount val="1"/>
                <c:pt idx="0">
                  <c:v>11</c:v>
                </c:pt>
              </c:strCache>
            </c:strRef>
          </c:tx>
          <c:spPr>
            <a:ln w="28575">
              <a:solidFill>
                <a:sysClr val="windowText" lastClr="000000">
                  <a:lumMod val="100000"/>
                </a:sysClr>
              </a:solidFill>
            </a:ln>
          </c:spPr>
          <c:marker>
            <c:symbol val="circle"/>
            <c:size val="5"/>
            <c:spPr>
              <a:noFill/>
              <a:ln>
                <a:solidFill>
                  <a:sysClr val="windowText" lastClr="000000">
                    <a:lumMod val="100000"/>
                  </a:sysClr>
                </a:solidFill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79646">
                        <a:tint val="86000"/>
                      </a:srgbClr>
                    </a:solidFill>
                  </a14:hiddenFill>
                </a:ext>
              </a:extLst>
            </c:spPr>
          </c:marker>
          <c:dLbls>
            <c:dLbl>
              <c:idx val="0"/>
              <c:layout>
                <c:manualLayout>
                  <c:x val="-5.2688369274549104E-2"/>
                  <c:y val="2.3994309114450034E-3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</c:dLbl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Pressure_Station!$G$217</c:f>
              <c:numCache>
                <c:formatCode>General</c:formatCode>
                <c:ptCount val="1"/>
                <c:pt idx="0">
                  <c:v>8.8702518858837422E-3</c:v>
                </c:pt>
              </c:numCache>
            </c:numRef>
          </c:xVal>
          <c:yVal>
            <c:numRef>
              <c:f>Pressure_Station!$H$217</c:f>
              <c:numCache>
                <c:formatCode>General</c:formatCode>
                <c:ptCount val="1"/>
                <c:pt idx="0">
                  <c:v>-2.2772176425110081E-2</c:v>
                </c:pt>
              </c:numCache>
            </c:numRef>
          </c:yVal>
          <c:smooth val="0"/>
        </c:ser>
        <c:ser>
          <c:idx val="20"/>
          <c:order val="20"/>
          <c:tx>
            <c:strRef>
              <c:f>Pressure_Station!$I$218</c:f>
              <c:strCache>
                <c:ptCount val="1"/>
                <c:pt idx="0">
                  <c:v>9</c:v>
                </c:pt>
              </c:strCache>
            </c:strRef>
          </c:tx>
          <c:spPr>
            <a:ln w="28575">
              <a:solidFill>
                <a:sysClr val="windowText" lastClr="000000">
                  <a:lumMod val="100000"/>
                </a:sysClr>
              </a:solidFill>
            </a:ln>
          </c:spPr>
          <c:marker>
            <c:symbol val="circle"/>
            <c:size val="5"/>
            <c:spPr>
              <a:noFill/>
              <a:ln>
                <a:solidFill>
                  <a:sysClr val="windowText" lastClr="000000">
                    <a:lumMod val="100000"/>
                  </a:sysClr>
                </a:solidFill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9BBB59">
                        <a:tint val="58000"/>
                      </a:srgbClr>
                    </a:solidFill>
                  </a14:hiddenFill>
                </a:ext>
              </a:extLst>
            </c:spPr>
          </c:marker>
          <c:dLbls>
            <c:dLbl>
              <c:idx val="0"/>
              <c:layout>
                <c:manualLayout>
                  <c:x val="-4.0578288892831146E-2"/>
                  <c:y val="-9.2465870756662186E-3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</c:dLbl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Pressure_Station!$G$218</c:f>
              <c:numCache>
                <c:formatCode>General</c:formatCode>
                <c:ptCount val="1"/>
                <c:pt idx="0">
                  <c:v>1.9089494732732713E-5</c:v>
                </c:pt>
              </c:numCache>
            </c:numRef>
          </c:xVal>
          <c:yVal>
            <c:numRef>
              <c:f>Pressure_Station!$H$218</c:f>
              <c:numCache>
                <c:formatCode>General</c:formatCode>
                <c:ptCount val="1"/>
                <c:pt idx="0">
                  <c:v>-1.0575580082017992E-3</c:v>
                </c:pt>
              </c:numCache>
            </c:numRef>
          </c:yVal>
          <c:smooth val="0"/>
        </c:ser>
        <c:ser>
          <c:idx val="21"/>
          <c:order val="21"/>
          <c:tx>
            <c:strRef>
              <c:f>Pressure_Station!$I$219</c:f>
              <c:strCache>
                <c:ptCount val="1"/>
                <c:pt idx="0">
                  <c:v>6</c:v>
                </c:pt>
              </c:strCache>
            </c:strRef>
          </c:tx>
          <c:spPr>
            <a:ln w="28575">
              <a:solidFill>
                <a:sysClr val="windowText" lastClr="000000">
                  <a:lumMod val="100000"/>
                </a:sysClr>
              </a:solidFill>
            </a:ln>
          </c:spPr>
          <c:marker>
            <c:symbol val="circle"/>
            <c:size val="5"/>
            <c:spPr>
              <a:noFill/>
              <a:ln>
                <a:solidFill>
                  <a:sysClr val="windowText" lastClr="000000">
                    <a:lumMod val="100000"/>
                  </a:sysClr>
                </a:solidFill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8064A2">
                        <a:tint val="58000"/>
                      </a:srgbClr>
                    </a:solidFill>
                  </a14:hiddenFill>
                </a:ext>
              </a:extLst>
            </c:spPr>
          </c:marker>
          <c:dLbls>
            <c:dLbl>
              <c:idx val="0"/>
              <c:layout>
                <c:manualLayout>
                  <c:x val="-4.296433437761768E-2"/>
                  <c:y val="-9.4127342407940295E-3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</c:dLbl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Pressure_Station!$G$219</c:f>
              <c:numCache>
                <c:formatCode>General</c:formatCode>
                <c:ptCount val="1"/>
                <c:pt idx="0">
                  <c:v>1.7702324782300608E-2</c:v>
                </c:pt>
              </c:numCache>
            </c:numRef>
          </c:xVal>
          <c:yVal>
            <c:numRef>
              <c:f>Pressure_Station!$H$219</c:f>
              <c:numCache>
                <c:formatCode>General</c:formatCode>
                <c:ptCount val="1"/>
                <c:pt idx="0">
                  <c:v>2.3253549850624704E-2</c:v>
                </c:pt>
              </c:numCache>
            </c:numRef>
          </c:yVal>
          <c:smooth val="0"/>
        </c:ser>
        <c:ser>
          <c:idx val="22"/>
          <c:order val="22"/>
          <c:tx>
            <c:strRef>
              <c:f>Pressure_Station!$I$220</c:f>
              <c:strCache>
                <c:ptCount val="1"/>
                <c:pt idx="0">
                  <c:v>24</c:v>
                </c:pt>
              </c:strCache>
            </c:strRef>
          </c:tx>
          <c:spPr>
            <a:ln w="28575">
              <a:solidFill>
                <a:sysClr val="windowText" lastClr="000000">
                  <a:lumMod val="100000"/>
                </a:sysClr>
              </a:solidFill>
            </a:ln>
          </c:spPr>
          <c:marker>
            <c:symbol val="circle"/>
            <c:size val="5"/>
            <c:spPr>
              <a:noFill/>
              <a:ln>
                <a:solidFill>
                  <a:sysClr val="windowText" lastClr="000000">
                    <a:lumMod val="100000"/>
                  </a:sysClr>
                </a:solidFill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4BACC6">
                        <a:tint val="58000"/>
                      </a:srgbClr>
                    </a:solidFill>
                  </a14:hiddenFill>
                </a:ext>
              </a:extLst>
            </c:spPr>
          </c:marker>
          <c:dLbls>
            <c:dLbl>
              <c:idx val="0"/>
              <c:layout>
                <c:manualLayout>
                  <c:x val="-3.4659909070805024E-2"/>
                  <c:y val="-2.1908400968000646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</c:dLbl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Pressure_Station!$G$220</c:f>
              <c:numCache>
                <c:formatCode>General</c:formatCode>
                <c:ptCount val="1"/>
                <c:pt idx="0">
                  <c:v>2.7253435313656524E-2</c:v>
                </c:pt>
              </c:numCache>
            </c:numRef>
          </c:xVal>
          <c:yVal>
            <c:numRef>
              <c:f>Pressure_Station!$H$220</c:f>
              <c:numCache>
                <c:formatCode>General</c:formatCode>
                <c:ptCount val="1"/>
                <c:pt idx="0">
                  <c:v>2.5220404124603538E-2</c:v>
                </c:pt>
              </c:numCache>
            </c:numRef>
          </c:yVal>
          <c:smooth val="0"/>
        </c:ser>
        <c:ser>
          <c:idx val="23"/>
          <c:order val="23"/>
          <c:tx>
            <c:strRef>
              <c:f>Pressure_Station!$I$221</c:f>
              <c:strCache>
                <c:ptCount val="1"/>
                <c:pt idx="0">
                  <c:v>5</c:v>
                </c:pt>
              </c:strCache>
            </c:strRef>
          </c:tx>
          <c:spPr>
            <a:ln w="28575">
              <a:solidFill>
                <a:sysClr val="windowText" lastClr="000000">
                  <a:lumMod val="100000"/>
                </a:sysClr>
              </a:solidFill>
            </a:ln>
          </c:spPr>
          <c:marker>
            <c:symbol val="circle"/>
            <c:size val="5"/>
            <c:spPr>
              <a:noFill/>
              <a:ln>
                <a:solidFill>
                  <a:sysClr val="windowText" lastClr="000000">
                    <a:lumMod val="100000"/>
                  </a:sysClr>
                </a:solidFill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79646">
                        <a:tint val="77000"/>
                      </a:srgbClr>
                    </a:solidFill>
                  </a14:hiddenFill>
                </a:ext>
              </a:extLst>
            </c:spPr>
          </c:marker>
          <c:dLbls>
            <c:dLbl>
              <c:idx val="0"/>
              <c:layout>
                <c:manualLayout>
                  <c:x val="-2.3864532540557135E-2"/>
                  <c:y val="-2.6753088813628242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</c:dLbl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Pressure_Station!$G$221</c:f>
              <c:numCache>
                <c:formatCode>General</c:formatCode>
                <c:ptCount val="1"/>
                <c:pt idx="0">
                  <c:v>3.6849087999389761E-2</c:v>
                </c:pt>
              </c:numCache>
            </c:numRef>
          </c:xVal>
          <c:yVal>
            <c:numRef>
              <c:f>Pressure_Station!$H$221</c:f>
              <c:numCache>
                <c:formatCode>General</c:formatCode>
                <c:ptCount val="1"/>
                <c:pt idx="0">
                  <c:v>2.5176180128472305E-2</c:v>
                </c:pt>
              </c:numCache>
            </c:numRef>
          </c:yVal>
          <c:smooth val="0"/>
        </c:ser>
        <c:ser>
          <c:idx val="24"/>
          <c:order val="24"/>
          <c:tx>
            <c:strRef>
              <c:f>Pressure_Station!$I$222</c:f>
              <c:strCache>
                <c:ptCount val="1"/>
                <c:pt idx="0">
                  <c:v>23</c:v>
                </c:pt>
              </c:strCache>
            </c:strRef>
          </c:tx>
          <c:spPr>
            <a:ln w="28575">
              <a:solidFill>
                <a:sysClr val="windowText" lastClr="000000">
                  <a:lumMod val="100000"/>
                </a:sysClr>
              </a:solidFill>
            </a:ln>
          </c:spPr>
          <c:marker>
            <c:symbol val="circle"/>
            <c:size val="5"/>
            <c:spPr>
              <a:noFill/>
              <a:ln>
                <a:solidFill>
                  <a:sysClr val="windowText" lastClr="000000">
                    <a:lumMod val="100000"/>
                  </a:sysClr>
                </a:solidFill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4F81BD">
                        <a:tint val="54000"/>
                      </a:srgbClr>
                    </a:solidFill>
                  </a14:hiddenFill>
                </a:ext>
              </a:extLst>
            </c:spPr>
          </c:marker>
          <c:dLbls>
            <c:dLbl>
              <c:idx val="0"/>
              <c:layout>
                <c:manualLayout>
                  <c:x val="-2.2761834563151225E-2"/>
                  <c:y val="-2.2019104345208866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</c:dLbl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Pressure_Station!$G$222</c:f>
              <c:numCache>
                <c:formatCode>General</c:formatCode>
                <c:ptCount val="1"/>
                <c:pt idx="0">
                  <c:v>4.6428832772844777E-2</c:v>
                </c:pt>
              </c:numCache>
            </c:numRef>
          </c:xVal>
          <c:yVal>
            <c:numRef>
              <c:f>Pressure_Station!$H$222</c:f>
              <c:numCache>
                <c:formatCode>General</c:formatCode>
                <c:ptCount val="1"/>
                <c:pt idx="0">
                  <c:v>2.3960815630478315E-2</c:v>
                </c:pt>
              </c:numCache>
            </c:numRef>
          </c:yVal>
          <c:smooth val="0"/>
        </c:ser>
        <c:ser>
          <c:idx val="25"/>
          <c:order val="25"/>
          <c:tx>
            <c:strRef>
              <c:f>Pressure_Station!$I$223</c:f>
              <c:strCache>
                <c:ptCount val="1"/>
                <c:pt idx="0">
                  <c:v>22</c:v>
                </c:pt>
              </c:strCache>
            </c:strRef>
          </c:tx>
          <c:spPr>
            <a:ln w="28575">
              <a:solidFill>
                <a:sysClr val="windowText" lastClr="000000">
                  <a:lumMod val="100000"/>
                </a:sysClr>
              </a:solidFill>
            </a:ln>
          </c:spPr>
          <c:marker>
            <c:symbol val="circle"/>
            <c:size val="5"/>
            <c:spPr>
              <a:noFill/>
              <a:ln>
                <a:solidFill>
                  <a:sysClr val="windowText" lastClr="000000">
                    <a:lumMod val="100000"/>
                  </a:sysClr>
                </a:solidFill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C0504D">
                        <a:tint val="54000"/>
                      </a:srgbClr>
                    </a:solidFill>
                  </a14:hiddenFill>
                </a:ext>
              </a:extLst>
            </c:spPr>
          </c:marker>
          <c:dLbls>
            <c:dLbl>
              <c:idx val="0"/>
              <c:layout>
                <c:manualLayout>
                  <c:x val="-1.5627065053761734E-2"/>
                  <c:y val="-1.9679781731990253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</c:dLbl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Pressure_Station!$G$223</c:f>
              <c:numCache>
                <c:formatCode>General</c:formatCode>
                <c:ptCount val="1"/>
                <c:pt idx="0">
                  <c:v>6.55565064952012E-2</c:v>
                </c:pt>
              </c:numCache>
            </c:numRef>
          </c:xVal>
          <c:yVal>
            <c:numRef>
              <c:f>Pressure_Station!$H$223</c:f>
              <c:numCache>
                <c:formatCode>General</c:formatCode>
                <c:ptCount val="1"/>
                <c:pt idx="0">
                  <c:v>2.0169005660035329E-2</c:v>
                </c:pt>
              </c:numCache>
            </c:numRef>
          </c:yVal>
          <c:smooth val="0"/>
        </c:ser>
        <c:ser>
          <c:idx val="26"/>
          <c:order val="26"/>
          <c:tx>
            <c:strRef>
              <c:f>Pressure_Station!$I$224</c:f>
              <c:strCache>
                <c:ptCount val="1"/>
                <c:pt idx="0">
                  <c:v>21</c:v>
                </c:pt>
              </c:strCache>
            </c:strRef>
          </c:tx>
          <c:spPr>
            <a:ln w="28575">
              <a:solidFill>
                <a:sysClr val="windowText" lastClr="000000">
                  <a:lumMod val="100000"/>
                </a:sysClr>
              </a:solidFill>
            </a:ln>
          </c:spPr>
          <c:marker>
            <c:symbol val="circle"/>
            <c:size val="5"/>
            <c:spPr>
              <a:noFill/>
              <a:ln>
                <a:solidFill>
                  <a:sysClr val="windowText" lastClr="000000">
                    <a:lumMod val="100000"/>
                  </a:sysClr>
                </a:solidFill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9BBB59">
                        <a:tint val="54000"/>
                      </a:srgbClr>
                    </a:solidFill>
                  </a14:hiddenFill>
                </a:ext>
              </a:extLst>
            </c:spPr>
          </c:marker>
          <c:dLbls>
            <c:dLbl>
              <c:idx val="0"/>
              <c:layout>
                <c:manualLayout>
                  <c:x val="-1.087591086688188E-2"/>
                  <c:y val="-1.7229755741563428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</c:dLbl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Pressure_Station!$G$224</c:f>
              <c:numCache>
                <c:formatCode>General</c:formatCode>
                <c:ptCount val="1"/>
                <c:pt idx="0">
                  <c:v>8.7359891062617323E-2</c:v>
                </c:pt>
              </c:numCache>
            </c:numRef>
          </c:xVal>
          <c:yVal>
            <c:numRef>
              <c:f>Pressure_Station!$H$224</c:f>
              <c:numCache>
                <c:formatCode>General</c:formatCode>
                <c:ptCount val="1"/>
                <c:pt idx="0">
                  <c:v>1.4576420019789486E-2</c:v>
                </c:pt>
              </c:numCache>
            </c:numRef>
          </c:yVal>
          <c:smooth val="0"/>
        </c:ser>
        <c:ser>
          <c:idx val="27"/>
          <c:order val="27"/>
          <c:tx>
            <c:strRef>
              <c:f>Pressure_Station!$I$225</c:f>
              <c:strCache>
                <c:ptCount val="1"/>
                <c:pt idx="0">
                  <c:v>20</c:v>
                </c:pt>
              </c:strCache>
            </c:strRef>
          </c:tx>
          <c:spPr>
            <a:ln w="28575">
              <a:solidFill>
                <a:sysClr val="windowText" lastClr="000000">
                  <a:lumMod val="100000"/>
                </a:sysClr>
              </a:solidFill>
            </a:ln>
          </c:spPr>
          <c:marker>
            <c:symbol val="circle"/>
            <c:size val="5"/>
            <c:spPr>
              <a:noFill/>
              <a:ln>
                <a:solidFill>
                  <a:sysClr val="windowText" lastClr="000000">
                    <a:lumMod val="100000"/>
                  </a:sysClr>
                </a:solidFill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8064A2">
                        <a:tint val="54000"/>
                      </a:srgbClr>
                    </a:solidFill>
                  </a14:hiddenFill>
                </a:ext>
              </a:extLst>
            </c:spPr>
          </c:marker>
          <c:dLbls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Pressure_Station!$G$225</c:f>
              <c:numCache>
                <c:formatCode>General</c:formatCode>
                <c:ptCount val="1"/>
                <c:pt idx="0">
                  <c:v>0.15782876086908085</c:v>
                </c:pt>
              </c:numCache>
            </c:numRef>
          </c:xVal>
          <c:yVal>
            <c:numRef>
              <c:f>Pressure_Station!$H$225</c:f>
              <c:numCache>
                <c:formatCode>General</c:formatCode>
                <c:ptCount val="1"/>
                <c:pt idx="0">
                  <c:v>-3.8955295584914931E-3</c:v>
                </c:pt>
              </c:numCache>
            </c:numRef>
          </c:yVal>
          <c:smooth val="0"/>
        </c:ser>
        <c:ser>
          <c:idx val="28"/>
          <c:order val="28"/>
          <c:tx>
            <c:strRef>
              <c:f>Pressure_Station!$I$226</c:f>
              <c:strCache>
                <c:ptCount val="1"/>
                <c:pt idx="0">
                  <c:v>19</c:v>
                </c:pt>
              </c:strCache>
            </c:strRef>
          </c:tx>
          <c:spPr>
            <a:ln w="28575">
              <a:solidFill>
                <a:sysClr val="windowText" lastClr="000000">
                  <a:lumMod val="100000"/>
                </a:sysClr>
              </a:solidFill>
            </a:ln>
          </c:spPr>
          <c:marker>
            <c:symbol val="circle"/>
            <c:size val="5"/>
            <c:spPr>
              <a:noFill/>
              <a:ln>
                <a:solidFill>
                  <a:sysClr val="windowText" lastClr="000000">
                    <a:lumMod val="100000"/>
                  </a:sysClr>
                </a:solidFill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4BACC6">
                        <a:tint val="54000"/>
                      </a:srgbClr>
                    </a:solidFill>
                  </a14:hiddenFill>
                </a:ext>
              </a:extLst>
            </c:spPr>
          </c:marker>
          <c:dLbls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Pressure_Station!$G$226</c:f>
              <c:numCache>
                <c:formatCode>General</c:formatCode>
                <c:ptCount val="1"/>
                <c:pt idx="0">
                  <c:v>0.28504115376906142</c:v>
                </c:pt>
              </c:numCache>
            </c:numRef>
          </c:xVal>
          <c:yVal>
            <c:numRef>
              <c:f>Pressure_Station!$H$226</c:f>
              <c:numCache>
                <c:formatCode>General</c:formatCode>
                <c:ptCount val="1"/>
                <c:pt idx="0">
                  <c:v>-2.8557565962158006E-2</c:v>
                </c:pt>
              </c:numCache>
            </c:numRef>
          </c:yVal>
          <c:smooth val="0"/>
        </c:ser>
        <c:ser>
          <c:idx val="29"/>
          <c:order val="29"/>
          <c:tx>
            <c:strRef>
              <c:f>Pressure_Station!$I$227</c:f>
              <c:strCache>
                <c:ptCount val="1"/>
                <c:pt idx="0">
                  <c:v>18</c:v>
                </c:pt>
              </c:strCache>
            </c:strRef>
          </c:tx>
          <c:spPr>
            <a:ln w="28575">
              <a:solidFill>
                <a:sysClr val="windowText" lastClr="000000">
                  <a:lumMod val="100000"/>
                </a:sysClr>
              </a:solidFill>
            </a:ln>
          </c:spPr>
          <c:marker>
            <c:symbol val="circle"/>
            <c:size val="5"/>
            <c:spPr>
              <a:noFill/>
              <a:ln>
                <a:solidFill>
                  <a:sysClr val="windowText" lastClr="000000">
                    <a:lumMod val="100000"/>
                  </a:sysClr>
                </a:solidFill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79646">
                        <a:tint val="70000"/>
                      </a:srgbClr>
                    </a:solidFill>
                  </a14:hiddenFill>
                </a:ext>
              </a:extLst>
            </c:spPr>
          </c:marker>
          <c:dLbls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Pressure_Station!$G$227</c:f>
              <c:numCache>
                <c:formatCode>General</c:formatCode>
                <c:ptCount val="1"/>
                <c:pt idx="0">
                  <c:v>0.41227899932868661</c:v>
                </c:pt>
              </c:numCache>
            </c:numRef>
          </c:xVal>
          <c:yVal>
            <c:numRef>
              <c:f>Pressure_Station!$H$227</c:f>
              <c:numCache>
                <c:formatCode>General</c:formatCode>
                <c:ptCount val="1"/>
                <c:pt idx="0">
                  <c:v>-4.3236114778768389E-2</c:v>
                </c:pt>
              </c:numCache>
            </c:numRef>
          </c:yVal>
          <c:smooth val="0"/>
        </c:ser>
        <c:ser>
          <c:idx val="30"/>
          <c:order val="30"/>
          <c:tx>
            <c:strRef>
              <c:f>Pressure_Station!$I$228</c:f>
              <c:strCache>
                <c:ptCount val="1"/>
                <c:pt idx="0">
                  <c:v>17</c:v>
                </c:pt>
              </c:strCache>
            </c:strRef>
          </c:tx>
          <c:spPr>
            <a:ln w="28575">
              <a:solidFill>
                <a:sysClr val="windowText" lastClr="000000">
                  <a:lumMod val="100000"/>
                </a:sysClr>
              </a:solidFill>
            </a:ln>
          </c:spPr>
          <c:marker>
            <c:symbol val="circle"/>
            <c:size val="5"/>
            <c:spPr>
              <a:noFill/>
              <a:ln>
                <a:solidFill>
                  <a:sysClr val="windowText" lastClr="000000">
                    <a:lumMod val="100000"/>
                  </a:sysClr>
                </a:solidFill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4F81BD">
                        <a:tint val="50000"/>
                      </a:srgbClr>
                    </a:solidFill>
                  </a14:hiddenFill>
                </a:ext>
              </a:extLst>
            </c:spPr>
          </c:marker>
          <c:dLbls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Pressure_Station!$G$228</c:f>
              <c:numCache>
                <c:formatCode>General</c:formatCode>
                <c:ptCount val="1"/>
                <c:pt idx="0">
                  <c:v>0.53951048172339988</c:v>
                </c:pt>
              </c:numCache>
            </c:numRef>
          </c:xVal>
          <c:yVal>
            <c:numRef>
              <c:f>Pressure_Station!$H$228</c:f>
              <c:numCache>
                <c:formatCode>General</c:formatCode>
                <c:ptCount val="1"/>
                <c:pt idx="0">
                  <c:v>-4.8904740239700137E-2</c:v>
                </c:pt>
              </c:numCache>
            </c:numRef>
          </c:yVal>
          <c:smooth val="0"/>
        </c:ser>
        <c:ser>
          <c:idx val="31"/>
          <c:order val="31"/>
          <c:tx>
            <c:strRef>
              <c:f>Pressure_Station!$I$229</c:f>
              <c:strCache>
                <c:ptCount val="1"/>
                <c:pt idx="0">
                  <c:v>2</c:v>
                </c:pt>
              </c:strCache>
            </c:strRef>
          </c:tx>
          <c:spPr>
            <a:ln w="28575">
              <a:solidFill>
                <a:sysClr val="windowText" lastClr="000000">
                  <a:lumMod val="100000"/>
                </a:sysClr>
              </a:solidFill>
            </a:ln>
          </c:spPr>
          <c:marker>
            <c:symbol val="circle"/>
            <c:size val="5"/>
            <c:spPr>
              <a:noFill/>
              <a:ln>
                <a:solidFill>
                  <a:sysClr val="windowText" lastClr="000000">
                    <a:lumMod val="100000"/>
                  </a:sysClr>
                </a:solidFill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C0504D">
                        <a:tint val="50000"/>
                      </a:srgbClr>
                    </a:solidFill>
                  </a14:hiddenFill>
                </a:ext>
              </a:extLst>
            </c:spPr>
          </c:marker>
          <c:dLbls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Pressure_Station!$G$229</c:f>
              <c:numCache>
                <c:formatCode>General</c:formatCode>
                <c:ptCount val="1"/>
                <c:pt idx="0">
                  <c:v>0.6667451457005692</c:v>
                </c:pt>
              </c:numCache>
            </c:numRef>
          </c:xVal>
          <c:yVal>
            <c:numRef>
              <c:f>Pressure_Station!$H$229</c:f>
              <c:numCache>
                <c:formatCode>General</c:formatCode>
                <c:ptCount val="1"/>
                <c:pt idx="0">
                  <c:v>-3.9311950978177447E-2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396096"/>
        <c:axId val="189397632"/>
      </c:scatterChart>
      <c:valAx>
        <c:axId val="189396096"/>
        <c:scaling>
          <c:orientation val="minMax"/>
          <c:max val="1.01"/>
          <c:min val="0"/>
        </c:scaling>
        <c:delete val="0"/>
        <c:axPos val="b"/>
        <c:numFmt formatCode="General" sourceLinked="0"/>
        <c:majorTickMark val="cross"/>
        <c:minorTickMark val="cross"/>
        <c:tickLblPos val="nextTo"/>
        <c:txPr>
          <a:bodyPr/>
          <a:lstStyle/>
          <a:p>
            <a:pPr>
              <a:defRPr>
                <a:solidFill>
                  <a:srgbClr val="0070C0"/>
                </a:solidFill>
              </a:defRPr>
            </a:pPr>
            <a:endParaRPr lang="en-US"/>
          </a:p>
        </c:txPr>
        <c:crossAx val="189397632"/>
        <c:crosses val="autoZero"/>
        <c:crossBetween val="midCat"/>
        <c:majorUnit val="0.1"/>
        <c:minorUnit val="5.000000000000001E-2"/>
      </c:valAx>
      <c:valAx>
        <c:axId val="189397632"/>
        <c:scaling>
          <c:orientation val="minMax"/>
          <c:max val="0.70000000000000007"/>
          <c:min val="-0.30000000000000004"/>
        </c:scaling>
        <c:delete val="0"/>
        <c:axPos val="l"/>
        <c:numFmt formatCode="General" sourceLinked="0"/>
        <c:majorTickMark val="cross"/>
        <c:minorTickMark val="cross"/>
        <c:tickLblPos val="nextTo"/>
        <c:txPr>
          <a:bodyPr/>
          <a:lstStyle/>
          <a:p>
            <a:pPr>
              <a:defRPr>
                <a:solidFill>
                  <a:srgbClr val="0070C0"/>
                </a:solidFill>
              </a:defRPr>
            </a:pPr>
            <a:endParaRPr lang="en-US"/>
          </a:p>
        </c:txPr>
        <c:crossAx val="189396096"/>
        <c:crosses val="autoZero"/>
        <c:crossBetween val="midCat"/>
        <c:majorUnit val="0.1"/>
        <c:minorUnit val="5.000000000000001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333375</xdr:colOff>
      <xdr:row>2</xdr:row>
      <xdr:rowOff>19050</xdr:rowOff>
    </xdr:from>
    <xdr:to>
      <xdr:col>22</xdr:col>
      <xdr:colOff>9525</xdr:colOff>
      <xdr:row>27</xdr:row>
      <xdr:rowOff>71437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9525</xdr:colOff>
      <xdr:row>206</xdr:row>
      <xdr:rowOff>19049</xdr:rowOff>
    </xdr:from>
    <xdr:to>
      <xdr:col>19</xdr:col>
      <xdr:colOff>523790</xdr:colOff>
      <xdr:row>238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239"/>
  <sheetViews>
    <sheetView tabSelected="1" topLeftCell="A194" zoomScaleNormal="100" workbookViewId="0">
      <selection activeCell="K196" sqref="K196"/>
    </sheetView>
  </sheetViews>
  <sheetFormatPr defaultRowHeight="12.75" x14ac:dyDescent="0.2"/>
  <cols>
    <col min="1" max="1" width="16" style="1" customWidth="1"/>
    <col min="2" max="2" width="17.33203125" style="1" customWidth="1"/>
    <col min="3" max="3" width="9.33203125" style="1"/>
    <col min="4" max="5" width="16.33203125" style="1" customWidth="1"/>
    <col min="6" max="6" width="9.33203125" style="1"/>
    <col min="7" max="7" width="25" style="1" customWidth="1"/>
    <col min="8" max="8" width="16.33203125" style="1" customWidth="1"/>
    <col min="9" max="9" width="10.6640625" style="1" bestFit="1" customWidth="1"/>
    <col min="10" max="16384" width="9.33203125" style="1"/>
  </cols>
  <sheetData>
    <row r="1" spans="1:24" x14ac:dyDescent="0.2">
      <c r="A1" s="1" t="s">
        <v>10</v>
      </c>
      <c r="D1" s="1" t="s">
        <v>9</v>
      </c>
      <c r="G1" s="1" t="s">
        <v>14</v>
      </c>
    </row>
    <row r="2" spans="1:24" x14ac:dyDescent="0.2">
      <c r="D2" s="2" t="s">
        <v>8</v>
      </c>
      <c r="G2" s="1" t="s">
        <v>13</v>
      </c>
      <c r="H2" s="2">
        <f>$D$205</f>
        <v>0.31430900000000017</v>
      </c>
    </row>
    <row r="4" spans="1:24" x14ac:dyDescent="0.2">
      <c r="A4" s="1" t="s">
        <v>2</v>
      </c>
      <c r="D4" s="1" t="s">
        <v>2</v>
      </c>
      <c r="G4" s="1" t="s">
        <v>2</v>
      </c>
      <c r="X4" s="1">
        <v>0.31430900000000001</v>
      </c>
    </row>
    <row r="5" spans="1:24" x14ac:dyDescent="0.2">
      <c r="A5" s="1" t="s">
        <v>0</v>
      </c>
      <c r="B5" s="1" t="s">
        <v>1</v>
      </c>
      <c r="D5" s="1" t="s">
        <v>6</v>
      </c>
      <c r="E5" s="1" t="s">
        <v>7</v>
      </c>
      <c r="G5" s="1" t="s">
        <v>11</v>
      </c>
      <c r="H5" s="1" t="s">
        <v>12</v>
      </c>
    </row>
    <row r="6" spans="1:24" x14ac:dyDescent="0.2">
      <c r="A6" s="1">
        <v>3.4631210000000001</v>
      </c>
      <c r="B6" s="1">
        <v>0.68845999999999996</v>
      </c>
      <c r="D6" s="1">
        <f>A6-$A$55</f>
        <v>0.29763000000000028</v>
      </c>
      <c r="E6" s="1">
        <f>B6-$B$55</f>
        <v>4.5807700000000007E-2</v>
      </c>
      <c r="G6" s="1">
        <f>D6/$H$2</f>
        <v>0.94693438622502102</v>
      </c>
      <c r="H6" s="1">
        <f>E6/$H$2</f>
        <v>0.14574097464596936</v>
      </c>
    </row>
    <row r="7" spans="1:24" x14ac:dyDescent="0.2">
      <c r="A7" s="1">
        <v>3.4578310000000001</v>
      </c>
      <c r="B7" s="1">
        <v>0.67945259999999996</v>
      </c>
      <c r="D7" s="1">
        <f t="shared" ref="D7:D70" si="0">A7-$A$55</f>
        <v>0.29234000000000027</v>
      </c>
      <c r="E7" s="1">
        <f t="shared" ref="E7:E70" si="1">B7-$B$55</f>
        <v>3.6800300000000008E-2</v>
      </c>
      <c r="G7" s="1">
        <f t="shared" ref="G7:H70" si="2">D7/$H$2</f>
        <v>0.93010381503552275</v>
      </c>
      <c r="H7" s="1">
        <f t="shared" si="2"/>
        <v>0.11708318883646344</v>
      </c>
    </row>
    <row r="8" spans="1:24" x14ac:dyDescent="0.2">
      <c r="A8" s="1">
        <v>3.451692</v>
      </c>
      <c r="B8" s="1">
        <v>0.67101500000000003</v>
      </c>
      <c r="D8" s="1">
        <f t="shared" si="0"/>
        <v>0.28620100000000015</v>
      </c>
      <c r="E8" s="1">
        <f t="shared" si="1"/>
        <v>2.8362700000000074E-2</v>
      </c>
      <c r="G8" s="1">
        <f t="shared" si="2"/>
        <v>0.9105720803413202</v>
      </c>
      <c r="H8" s="1">
        <f t="shared" si="2"/>
        <v>9.0238268710091205E-2</v>
      </c>
    </row>
    <row r="9" spans="1:24" x14ac:dyDescent="0.2">
      <c r="A9" s="1">
        <v>3.4447489999999998</v>
      </c>
      <c r="B9" s="1">
        <v>0.66325409999999996</v>
      </c>
      <c r="D9" s="1">
        <f t="shared" si="0"/>
        <v>0.27925800000000001</v>
      </c>
      <c r="E9" s="1">
        <f t="shared" si="1"/>
        <v>2.0601800000000003E-2</v>
      </c>
      <c r="G9" s="1">
        <f t="shared" si="2"/>
        <v>0.88848235335291026</v>
      </c>
      <c r="H9" s="1">
        <f t="shared" si="2"/>
        <v>6.5546325431343019E-2</v>
      </c>
    </row>
    <row r="10" spans="1:24" x14ac:dyDescent="0.2">
      <c r="A10" s="1">
        <v>3.4370720000000001</v>
      </c>
      <c r="B10" s="1">
        <v>0.65626600000000002</v>
      </c>
      <c r="D10" s="1">
        <f t="shared" si="0"/>
        <v>0.27158100000000029</v>
      </c>
      <c r="E10" s="1">
        <f t="shared" si="1"/>
        <v>1.3613700000000062E-2</v>
      </c>
      <c r="G10" s="1">
        <f t="shared" si="2"/>
        <v>0.86405734484217811</v>
      </c>
      <c r="H10" s="1">
        <f t="shared" si="2"/>
        <v>4.3313109074191496E-2</v>
      </c>
    </row>
    <row r="11" spans="1:24" x14ac:dyDescent="0.2">
      <c r="A11" s="1">
        <v>3.4287610000000002</v>
      </c>
      <c r="B11" s="1">
        <v>0.65011750000000001</v>
      </c>
      <c r="D11" s="1">
        <f t="shared" si="0"/>
        <v>0.26327000000000034</v>
      </c>
      <c r="E11" s="1">
        <f t="shared" si="1"/>
        <v>7.4652000000000607E-3</v>
      </c>
      <c r="G11" s="1">
        <f t="shared" si="2"/>
        <v>0.83761521305466979</v>
      </c>
      <c r="H11" s="1">
        <f t="shared" si="2"/>
        <v>2.3751149346662222E-2</v>
      </c>
    </row>
    <row r="12" spans="1:24" x14ac:dyDescent="0.2">
      <c r="A12" s="1">
        <v>3.419937</v>
      </c>
      <c r="B12" s="1">
        <v>0.64483279999999998</v>
      </c>
      <c r="D12" s="1">
        <f t="shared" si="0"/>
        <v>0.25444600000000017</v>
      </c>
      <c r="E12" s="1">
        <f t="shared" si="1"/>
        <v>2.1805000000000296E-3</v>
      </c>
      <c r="G12" s="1">
        <f t="shared" si="2"/>
        <v>0.80954092946749867</v>
      </c>
      <c r="H12" s="1">
        <f t="shared" si="2"/>
        <v>6.937440544177954E-3</v>
      </c>
    </row>
    <row r="13" spans="1:24" x14ac:dyDescent="0.2">
      <c r="A13" s="1">
        <v>3.4107289999999999</v>
      </c>
      <c r="B13" s="1">
        <v>0.64039520000000005</v>
      </c>
      <c r="D13" s="1">
        <f t="shared" si="0"/>
        <v>0.24523800000000007</v>
      </c>
      <c r="E13" s="1">
        <f t="shared" si="1"/>
        <v>-2.2570999999999009E-3</v>
      </c>
      <c r="G13" s="1">
        <f t="shared" si="2"/>
        <v>0.78024491821742281</v>
      </c>
      <c r="H13" s="1">
        <f t="shared" si="2"/>
        <v>-7.1811497602674423E-3</v>
      </c>
    </row>
    <row r="14" spans="1:24" x14ac:dyDescent="0.2">
      <c r="A14" s="1">
        <v>3.4012579999999999</v>
      </c>
      <c r="B14" s="1">
        <v>0.63675170000000003</v>
      </c>
      <c r="D14" s="1">
        <f t="shared" si="0"/>
        <v>0.23576700000000006</v>
      </c>
      <c r="E14" s="1">
        <f t="shared" si="1"/>
        <v>-5.9005999999999226E-3</v>
      </c>
      <c r="G14" s="1">
        <f t="shared" si="2"/>
        <v>0.75011215078155546</v>
      </c>
      <c r="H14" s="1">
        <f t="shared" si="2"/>
        <v>-1.8773245436815106E-2</v>
      </c>
    </row>
    <row r="15" spans="1:24" x14ac:dyDescent="0.2">
      <c r="A15" s="1">
        <v>3.3916270000000002</v>
      </c>
      <c r="B15" s="1">
        <v>0.63383020000000001</v>
      </c>
      <c r="D15" s="1">
        <f t="shared" si="0"/>
        <v>0.22613600000000034</v>
      </c>
      <c r="E15" s="1">
        <f t="shared" si="1"/>
        <v>-8.8220999999999439E-3</v>
      </c>
      <c r="G15" s="1">
        <f t="shared" si="2"/>
        <v>0.71947033015281203</v>
      </c>
      <c r="H15" s="1">
        <f t="shared" si="2"/>
        <v>-2.8068238580504976E-2</v>
      </c>
    </row>
    <row r="16" spans="1:24" x14ac:dyDescent="0.2">
      <c r="A16" s="1">
        <v>3.3819219999999999</v>
      </c>
      <c r="B16" s="1">
        <v>0.63155470000000002</v>
      </c>
      <c r="D16" s="1">
        <f t="shared" si="0"/>
        <v>0.21643100000000004</v>
      </c>
      <c r="E16" s="1">
        <f t="shared" si="1"/>
        <v>-1.109759999999993E-2</v>
      </c>
      <c r="G16" s="1">
        <f t="shared" si="2"/>
        <v>0.68859307242236123</v>
      </c>
      <c r="H16" s="1">
        <f t="shared" si="2"/>
        <v>-3.5307929457953552E-2</v>
      </c>
    </row>
    <row r="17" spans="1:8" x14ac:dyDescent="0.2">
      <c r="A17" s="1">
        <v>3.3722059999999998</v>
      </c>
      <c r="B17" s="1">
        <v>0.62985100000000005</v>
      </c>
      <c r="D17" s="1">
        <f t="shared" si="0"/>
        <v>0.20671499999999998</v>
      </c>
      <c r="E17" s="1">
        <f t="shared" si="1"/>
        <v>-1.2801299999999904E-2</v>
      </c>
      <c r="G17" s="1">
        <f t="shared" si="2"/>
        <v>0.6576808172849008</v>
      </c>
      <c r="H17" s="1">
        <f t="shared" si="2"/>
        <v>-4.0728391487357657E-2</v>
      </c>
    </row>
    <row r="18" spans="1:8" x14ac:dyDescent="0.2">
      <c r="A18" s="1">
        <v>3.3625340000000001</v>
      </c>
      <c r="B18" s="1">
        <v>0.62864180000000003</v>
      </c>
      <c r="D18" s="1">
        <f t="shared" si="0"/>
        <v>0.1970430000000003</v>
      </c>
      <c r="E18" s="1">
        <f t="shared" si="1"/>
        <v>-1.4010499999999926E-2</v>
      </c>
      <c r="G18" s="1">
        <f t="shared" si="2"/>
        <v>0.62690855177548266</v>
      </c>
      <c r="H18" s="1">
        <f t="shared" si="2"/>
        <v>-4.45755609925262E-2</v>
      </c>
    </row>
    <row r="19" spans="1:8" x14ac:dyDescent="0.2">
      <c r="A19" s="1">
        <v>3.3529429999999998</v>
      </c>
      <c r="B19" s="1">
        <v>0.62785329999999995</v>
      </c>
      <c r="D19" s="1">
        <f t="shared" si="0"/>
        <v>0.18745199999999995</v>
      </c>
      <c r="E19" s="1">
        <f t="shared" si="1"/>
        <v>-1.4799000000000007E-2</v>
      </c>
      <c r="G19" s="1">
        <f t="shared" si="2"/>
        <v>0.59639399444495655</v>
      </c>
      <c r="H19" s="1">
        <f t="shared" si="2"/>
        <v>-4.7084238758673784E-2</v>
      </c>
    </row>
    <row r="20" spans="1:8" x14ac:dyDescent="0.2">
      <c r="A20" s="1">
        <v>3.3434659999999998</v>
      </c>
      <c r="B20" s="1">
        <v>0.62741880000000005</v>
      </c>
      <c r="D20" s="1">
        <f t="shared" si="0"/>
        <v>0.17797499999999999</v>
      </c>
      <c r="E20" s="1">
        <f t="shared" si="1"/>
        <v>-1.52334999999999E-2</v>
      </c>
      <c r="G20" s="1">
        <f t="shared" si="2"/>
        <v>0.56624213751435659</v>
      </c>
      <c r="H20" s="1">
        <f t="shared" si="2"/>
        <v>-4.8466636335580245E-2</v>
      </c>
    </row>
    <row r="21" spans="1:8" x14ac:dyDescent="0.2">
      <c r="A21" s="1">
        <v>3.3341249999999998</v>
      </c>
      <c r="B21" s="1">
        <v>0.62727880000000003</v>
      </c>
      <c r="D21" s="1">
        <f t="shared" si="0"/>
        <v>0.16863399999999995</v>
      </c>
      <c r="E21" s="1">
        <f t="shared" si="1"/>
        <v>-1.5373499999999929E-2</v>
      </c>
      <c r="G21" s="1">
        <f t="shared" si="2"/>
        <v>0.53652297579770181</v>
      </c>
      <c r="H21" s="1">
        <f t="shared" si="2"/>
        <v>-4.8912057879347777E-2</v>
      </c>
    </row>
    <row r="22" spans="1:8" x14ac:dyDescent="0.2">
      <c r="A22" s="1">
        <v>3.3249390000000001</v>
      </c>
      <c r="B22" s="1">
        <v>0.62738280000000002</v>
      </c>
      <c r="D22" s="1">
        <f t="shared" si="0"/>
        <v>0.15944800000000026</v>
      </c>
      <c r="E22" s="1">
        <f t="shared" si="1"/>
        <v>-1.5269499999999936E-2</v>
      </c>
      <c r="G22" s="1">
        <f t="shared" si="2"/>
        <v>0.50729695936164787</v>
      </c>
      <c r="H22" s="1">
        <f t="shared" si="2"/>
        <v>-4.8581173303977702E-2</v>
      </c>
    </row>
    <row r="23" spans="1:8" x14ac:dyDescent="0.2">
      <c r="A23" s="1">
        <v>3.3159209999999999</v>
      </c>
      <c r="B23" s="1">
        <v>0.62768919999999995</v>
      </c>
      <c r="D23" s="1">
        <f t="shared" si="0"/>
        <v>0.15043000000000006</v>
      </c>
      <c r="E23" s="1">
        <f t="shared" si="1"/>
        <v>-1.4963100000000007E-2</v>
      </c>
      <c r="G23" s="1">
        <f t="shared" si="2"/>
        <v>0.47860544877811317</v>
      </c>
      <c r="H23" s="1">
        <f t="shared" si="2"/>
        <v>-4.7606336439618334E-2</v>
      </c>
    </row>
    <row r="24" spans="1:8" x14ac:dyDescent="0.2">
      <c r="A24" s="1">
        <v>3.3070849999999998</v>
      </c>
      <c r="B24" s="1">
        <v>0.62816539999999998</v>
      </c>
      <c r="D24" s="1">
        <f t="shared" si="0"/>
        <v>0.141594</v>
      </c>
      <c r="E24" s="1">
        <f t="shared" si="1"/>
        <v>-1.4486899999999969E-2</v>
      </c>
      <c r="G24" s="1">
        <f t="shared" si="2"/>
        <v>0.45049298620147665</v>
      </c>
      <c r="H24" s="1">
        <f t="shared" si="2"/>
        <v>-4.6091266874317825E-2</v>
      </c>
    </row>
    <row r="25" spans="1:8" x14ac:dyDescent="0.2">
      <c r="A25" s="1">
        <v>3.298441</v>
      </c>
      <c r="B25" s="1">
        <v>0.62878409999999996</v>
      </c>
      <c r="D25" s="1">
        <f t="shared" si="0"/>
        <v>0.13295000000000012</v>
      </c>
      <c r="E25" s="1">
        <f t="shared" si="1"/>
        <v>-1.3868199999999997E-2</v>
      </c>
      <c r="G25" s="1">
        <f t="shared" si="2"/>
        <v>0.42299138745629317</v>
      </c>
      <c r="H25" s="1">
        <f t="shared" si="2"/>
        <v>-4.4122821809111382E-2</v>
      </c>
    </row>
    <row r="26" spans="1:8" x14ac:dyDescent="0.2">
      <c r="A26" s="1">
        <v>3.2899980000000002</v>
      </c>
      <c r="B26" s="1">
        <v>0.62952019999999997</v>
      </c>
      <c r="D26" s="1">
        <f t="shared" si="0"/>
        <v>0.12450700000000037</v>
      </c>
      <c r="E26" s="1">
        <f t="shared" si="1"/>
        <v>-1.313209999999998E-2</v>
      </c>
      <c r="G26" s="1">
        <f t="shared" si="2"/>
        <v>0.39612928678466192</v>
      </c>
      <c r="H26" s="1">
        <f t="shared" si="2"/>
        <v>-4.1780858963631241E-2</v>
      </c>
    </row>
    <row r="27" spans="1:8" x14ac:dyDescent="0.2">
      <c r="A27" s="1">
        <v>3.281765</v>
      </c>
      <c r="B27" s="1">
        <v>0.63034970000000001</v>
      </c>
      <c r="D27" s="1">
        <f t="shared" si="0"/>
        <v>0.11627400000000021</v>
      </c>
      <c r="E27" s="1">
        <f t="shared" si="1"/>
        <v>-1.2302599999999941E-2</v>
      </c>
      <c r="G27" s="1">
        <f t="shared" si="2"/>
        <v>0.36993531842868055</v>
      </c>
      <c r="H27" s="1">
        <f t="shared" si="2"/>
        <v>-3.9141736316809048E-2</v>
      </c>
    </row>
    <row r="28" spans="1:8" x14ac:dyDescent="0.2">
      <c r="A28" s="1">
        <v>3.2737500000000002</v>
      </c>
      <c r="B28" s="1">
        <v>0.63124970000000002</v>
      </c>
      <c r="D28" s="1">
        <f t="shared" si="0"/>
        <v>0.10825900000000033</v>
      </c>
      <c r="E28" s="1">
        <f t="shared" si="1"/>
        <v>-1.1402599999999929E-2</v>
      </c>
      <c r="G28" s="1">
        <f t="shared" si="2"/>
        <v>0.34443493504799505</v>
      </c>
      <c r="H28" s="1">
        <f t="shared" si="2"/>
        <v>-3.6278312106875474E-2</v>
      </c>
    </row>
    <row r="29" spans="1:8" x14ac:dyDescent="0.2">
      <c r="A29" s="1">
        <v>3.2659600000000002</v>
      </c>
      <c r="B29" s="1">
        <v>0.63220430000000005</v>
      </c>
      <c r="D29" s="1">
        <f t="shared" si="0"/>
        <v>0.10046900000000036</v>
      </c>
      <c r="E29" s="1">
        <f t="shared" si="1"/>
        <v>-1.0447999999999902E-2</v>
      </c>
      <c r="G29" s="1">
        <f t="shared" si="2"/>
        <v>0.31965040771979264</v>
      </c>
      <c r="H29" s="1">
        <f t="shared" si="2"/>
        <v>-3.3241173494872552E-2</v>
      </c>
    </row>
    <row r="30" spans="1:8" x14ac:dyDescent="0.2">
      <c r="A30" s="1">
        <v>3.2584029999999999</v>
      </c>
      <c r="B30" s="1">
        <v>0.63320790000000005</v>
      </c>
      <c r="D30" s="1">
        <f t="shared" si="0"/>
        <v>9.2912000000000106E-2</v>
      </c>
      <c r="E30" s="1">
        <f t="shared" si="1"/>
        <v>-9.4443999999999084E-3</v>
      </c>
      <c r="G30" s="1">
        <f t="shared" si="2"/>
        <v>0.29560718910371658</v>
      </c>
      <c r="H30" s="1">
        <f t="shared" si="2"/>
        <v>-3.0048137342551129E-2</v>
      </c>
    </row>
    <row r="31" spans="1:8" x14ac:dyDescent="0.2">
      <c r="A31" s="1">
        <v>3.2510889999999999</v>
      </c>
      <c r="B31" s="1">
        <v>0.63426559999999998</v>
      </c>
      <c r="D31" s="1">
        <f t="shared" si="0"/>
        <v>8.5598000000000063E-2</v>
      </c>
      <c r="E31" s="1">
        <f t="shared" si="1"/>
        <v>-8.3866999999999692E-3</v>
      </c>
      <c r="G31" s="1">
        <f t="shared" si="2"/>
        <v>0.27233709502432324</v>
      </c>
      <c r="H31" s="1">
        <f t="shared" si="2"/>
        <v>-2.6682977579388322E-2</v>
      </c>
    </row>
    <row r="32" spans="1:8" x14ac:dyDescent="0.2">
      <c r="A32" s="1">
        <v>3.2440289999999998</v>
      </c>
      <c r="B32" s="1">
        <v>0.63538930000000005</v>
      </c>
      <c r="D32" s="1">
        <f t="shared" si="0"/>
        <v>7.8537999999999997E-2</v>
      </c>
      <c r="E32" s="1">
        <f t="shared" si="1"/>
        <v>-7.2629999999999084E-3</v>
      </c>
      <c r="G32" s="1">
        <f t="shared" si="2"/>
        <v>0.24987512288862221</v>
      </c>
      <c r="H32" s="1">
        <f t="shared" si="2"/>
        <v>-2.3107833374163337E-2</v>
      </c>
    </row>
    <row r="33" spans="1:8" x14ac:dyDescent="0.2">
      <c r="A33" s="1">
        <v>3.2372320000000001</v>
      </c>
      <c r="B33" s="1">
        <v>0.63658789999999998</v>
      </c>
      <c r="D33" s="1">
        <f t="shared" si="0"/>
        <v>7.1741000000000277E-2</v>
      </c>
      <c r="E33" s="1">
        <f t="shared" si="1"/>
        <v>-6.0643999999999698E-3</v>
      </c>
      <c r="G33" s="1">
        <f t="shared" si="2"/>
        <v>0.22824990693871394</v>
      </c>
      <c r="H33" s="1">
        <f t="shared" si="2"/>
        <v>-1.9294388643023162E-2</v>
      </c>
    </row>
    <row r="34" spans="1:8" x14ac:dyDescent="0.2">
      <c r="A34" s="1">
        <v>3.2307100000000002</v>
      </c>
      <c r="B34" s="1">
        <v>0.6378627</v>
      </c>
      <c r="D34" s="1">
        <f t="shared" si="0"/>
        <v>6.521900000000036E-2</v>
      </c>
      <c r="E34" s="1">
        <f t="shared" si="1"/>
        <v>-4.7895999999999495E-3</v>
      </c>
      <c r="G34" s="1">
        <f t="shared" si="2"/>
        <v>0.20749962616406251</v>
      </c>
      <c r="H34" s="1">
        <f t="shared" si="2"/>
        <v>-1.5238507328775018E-2</v>
      </c>
    </row>
    <row r="35" spans="1:8" x14ac:dyDescent="0.2">
      <c r="A35" s="1">
        <v>3.2244679999999999</v>
      </c>
      <c r="B35" s="1">
        <v>0.63920440000000001</v>
      </c>
      <c r="D35" s="1">
        <f t="shared" si="0"/>
        <v>5.8977000000000057E-2</v>
      </c>
      <c r="E35" s="1">
        <f t="shared" si="1"/>
        <v>-3.4478999999999482E-3</v>
      </c>
      <c r="G35" s="1">
        <f t="shared" si="2"/>
        <v>0.18764018847694475</v>
      </c>
      <c r="H35" s="1">
        <f t="shared" si="2"/>
        <v>-1.0969778148255208E-2</v>
      </c>
    </row>
    <row r="36" spans="1:8" x14ac:dyDescent="0.2">
      <c r="A36" s="1">
        <v>3.218512</v>
      </c>
      <c r="B36" s="1">
        <v>0.64059140000000003</v>
      </c>
      <c r="D36" s="1">
        <f t="shared" si="0"/>
        <v>5.3021000000000207E-2</v>
      </c>
      <c r="E36" s="1">
        <f t="shared" si="1"/>
        <v>-2.0608999999999211E-3</v>
      </c>
      <c r="G36" s="1">
        <f t="shared" si="2"/>
        <v>0.16869068337209617</v>
      </c>
      <c r="H36" s="1">
        <f t="shared" si="2"/>
        <v>-6.5569232825019967E-3</v>
      </c>
    </row>
    <row r="37" spans="1:8" x14ac:dyDescent="0.2">
      <c r="A37" s="1">
        <v>3.2128420000000002</v>
      </c>
      <c r="B37" s="1">
        <v>0.64199519999999999</v>
      </c>
      <c r="D37" s="1">
        <f t="shared" si="0"/>
        <v>4.7351000000000365E-2</v>
      </c>
      <c r="E37" s="1">
        <f t="shared" si="1"/>
        <v>-6.5709999999996604E-4</v>
      </c>
      <c r="G37" s="1">
        <f t="shared" si="2"/>
        <v>0.15065111084951541</v>
      </c>
      <c r="H37" s="1">
        <f t="shared" si="2"/>
        <v>-2.0906178314969207E-3</v>
      </c>
    </row>
    <row r="38" spans="1:8" x14ac:dyDescent="0.2">
      <c r="A38" s="1">
        <v>3.2074569999999998</v>
      </c>
      <c r="B38" s="1">
        <v>0.64338110000000004</v>
      </c>
      <c r="D38" s="1">
        <f t="shared" si="0"/>
        <v>4.1965999999999948E-2</v>
      </c>
      <c r="E38" s="1">
        <f t="shared" si="1"/>
        <v>7.2880000000008494E-4</v>
      </c>
      <c r="G38" s="1">
        <f t="shared" si="2"/>
        <v>0.13351828932674509</v>
      </c>
      <c r="H38" s="1">
        <f t="shared" si="2"/>
        <v>2.3187372935553376E-3</v>
      </c>
    </row>
    <row r="39" spans="1:8" x14ac:dyDescent="0.2">
      <c r="A39" s="1">
        <v>3.202356</v>
      </c>
      <c r="B39" s="1">
        <v>0.64471979999999995</v>
      </c>
      <c r="D39" s="1">
        <f t="shared" si="0"/>
        <v>3.6865000000000148E-2</v>
      </c>
      <c r="E39" s="1">
        <f t="shared" si="1"/>
        <v>2.0674999999999999E-3</v>
      </c>
      <c r="G39" s="1">
        <f t="shared" si="2"/>
        <v>0.11728903722133355</v>
      </c>
      <c r="H39" s="1">
        <f t="shared" si="2"/>
        <v>6.5779217267084265E-3</v>
      </c>
    </row>
    <row r="40" spans="1:8" x14ac:dyDescent="0.2">
      <c r="A40" s="1">
        <v>3.1975410000000002</v>
      </c>
      <c r="B40" s="1">
        <v>0.64600020000000002</v>
      </c>
      <c r="D40" s="1">
        <f t="shared" si="0"/>
        <v>3.2050000000000356E-2</v>
      </c>
      <c r="E40" s="1">
        <f t="shared" si="1"/>
        <v>3.3479000000000703E-3</v>
      </c>
      <c r="G40" s="1">
        <f t="shared" si="2"/>
        <v>0.1019697176981898</v>
      </c>
      <c r="H40" s="1">
        <f t="shared" si="2"/>
        <v>1.0651619902707425E-2</v>
      </c>
    </row>
    <row r="41" spans="1:8" x14ac:dyDescent="0.2">
      <c r="A41" s="1">
        <v>3.1930170000000002</v>
      </c>
      <c r="B41" s="1">
        <v>0.64721580000000001</v>
      </c>
      <c r="D41" s="1">
        <f t="shared" si="0"/>
        <v>2.7526000000000383E-2</v>
      </c>
      <c r="E41" s="1">
        <f t="shared" si="1"/>
        <v>4.5635000000000536E-3</v>
      </c>
      <c r="G41" s="1">
        <f t="shared" si="2"/>
        <v>8.7576238669590648E-2</v>
      </c>
      <c r="H41" s="1">
        <f t="shared" si="2"/>
        <v>1.4519151535590935E-2</v>
      </c>
    </row>
    <row r="42" spans="1:8" x14ac:dyDescent="0.2">
      <c r="A42" s="1">
        <v>3.1887789999999998</v>
      </c>
      <c r="B42" s="1">
        <v>0.64833589999999997</v>
      </c>
      <c r="D42" s="1">
        <f t="shared" si="0"/>
        <v>2.3287999999999975E-2</v>
      </c>
      <c r="E42" s="1">
        <f t="shared" si="1"/>
        <v>5.6836000000000109E-3</v>
      </c>
      <c r="G42" s="1">
        <f t="shared" si="2"/>
        <v>7.4092692223257886E-2</v>
      </c>
      <c r="H42" s="1">
        <f t="shared" si="2"/>
        <v>1.8082842043975856E-2</v>
      </c>
    </row>
    <row r="43" spans="1:8" x14ac:dyDescent="0.2">
      <c r="A43" s="1">
        <v>3.1848130000000001</v>
      </c>
      <c r="B43" s="1">
        <v>0.64928039999999998</v>
      </c>
      <c r="D43" s="1">
        <f t="shared" si="0"/>
        <v>1.9322000000000283E-2</v>
      </c>
      <c r="E43" s="1">
        <f t="shared" si="1"/>
        <v>6.6281000000000256E-3</v>
      </c>
      <c r="G43" s="1">
        <f t="shared" si="2"/>
        <v>6.1474536204818422E-2</v>
      </c>
      <c r="H43" s="1">
        <f t="shared" si="2"/>
        <v>2.1087846673178375E-2</v>
      </c>
    </row>
    <row r="44" spans="1:8" x14ac:dyDescent="0.2">
      <c r="A44" s="1">
        <v>3.1811189999999998</v>
      </c>
      <c r="B44" s="1">
        <v>0.65000919999999995</v>
      </c>
      <c r="D44" s="1">
        <f t="shared" si="0"/>
        <v>1.5627999999999975E-2</v>
      </c>
      <c r="E44" s="1">
        <f t="shared" si="1"/>
        <v>7.3568999999999996E-3</v>
      </c>
      <c r="G44" s="1">
        <f t="shared" si="2"/>
        <v>4.9721770614268017E-2</v>
      </c>
      <c r="H44" s="1">
        <f t="shared" si="2"/>
        <v>2.3406583966733358E-2</v>
      </c>
    </row>
    <row r="45" spans="1:8" x14ac:dyDescent="0.2">
      <c r="A45" s="1">
        <v>3.1777039999999999</v>
      </c>
      <c r="B45" s="1">
        <v>0.65050669999999999</v>
      </c>
      <c r="D45" s="1">
        <f t="shared" si="0"/>
        <v>1.2213000000000029E-2</v>
      </c>
      <c r="E45" s="1">
        <f t="shared" si="1"/>
        <v>7.8544000000000391E-3</v>
      </c>
      <c r="G45" s="1">
        <f t="shared" si="2"/>
        <v>3.8856666528798163E-2</v>
      </c>
      <c r="H45" s="1">
        <f t="shared" si="2"/>
        <v>2.4989421238335634E-2</v>
      </c>
    </row>
    <row r="46" spans="1:8" x14ac:dyDescent="0.2">
      <c r="A46" s="1">
        <v>3.1745749999999999</v>
      </c>
      <c r="B46" s="1">
        <v>0.6506151</v>
      </c>
      <c r="D46" s="1">
        <f t="shared" si="0"/>
        <v>9.084000000000092E-3</v>
      </c>
      <c r="E46" s="1">
        <f t="shared" si="1"/>
        <v>7.9628000000000476E-3</v>
      </c>
      <c r="G46" s="1">
        <f t="shared" si="2"/>
        <v>2.8901495025596108E-2</v>
      </c>
      <c r="H46" s="1">
        <f t="shared" si="2"/>
        <v>2.5334304776509879E-2</v>
      </c>
    </row>
    <row r="47" spans="1:8" x14ac:dyDescent="0.2">
      <c r="A47" s="1">
        <v>3.1718000000000002</v>
      </c>
      <c r="B47" s="1">
        <v>0.65018719999999997</v>
      </c>
      <c r="D47" s="1">
        <f t="shared" si="0"/>
        <v>6.3090000000003421E-3</v>
      </c>
      <c r="E47" s="1">
        <f t="shared" si="1"/>
        <v>7.534900000000011E-3</v>
      </c>
      <c r="G47" s="1">
        <f t="shared" si="2"/>
        <v>2.0072603711635169E-2</v>
      </c>
      <c r="H47" s="1">
        <f t="shared" si="2"/>
        <v>2.3972905643809141E-2</v>
      </c>
    </row>
    <row r="48" spans="1:8" x14ac:dyDescent="0.2">
      <c r="A48" s="1">
        <v>3.1694870000000002</v>
      </c>
      <c r="B48" s="1">
        <v>0.64928319999999995</v>
      </c>
      <c r="D48" s="1">
        <f t="shared" si="0"/>
        <v>3.9960000000003326E-3</v>
      </c>
      <c r="E48" s="1">
        <f t="shared" si="1"/>
        <v>6.6308999999999951E-3</v>
      </c>
      <c r="G48" s="1">
        <f t="shared" si="2"/>
        <v>1.2713603492105954E-2</v>
      </c>
      <c r="H48" s="1">
        <f t="shared" si="2"/>
        <v>2.1096755104053629E-2</v>
      </c>
    </row>
    <row r="49" spans="1:8" x14ac:dyDescent="0.2">
      <c r="A49" s="1">
        <v>3.1677230000000001</v>
      </c>
      <c r="B49" s="1">
        <v>0.64804050000000002</v>
      </c>
      <c r="D49" s="1">
        <f t="shared" si="0"/>
        <v>2.2320000000002338E-3</v>
      </c>
      <c r="E49" s="1">
        <f t="shared" si="1"/>
        <v>5.3882000000000652E-3</v>
      </c>
      <c r="G49" s="1">
        <f t="shared" si="2"/>
        <v>7.1012920406359108E-3</v>
      </c>
      <c r="H49" s="1">
        <f t="shared" si="2"/>
        <v>1.7143002586626734E-2</v>
      </c>
    </row>
    <row r="50" spans="1:8" x14ac:dyDescent="0.2">
      <c r="A50" s="1">
        <v>3.1665459999999999</v>
      </c>
      <c r="B50" s="1">
        <v>0.64664120000000003</v>
      </c>
      <c r="D50" s="1">
        <f t="shared" si="0"/>
        <v>1.0550000000000281E-3</v>
      </c>
      <c r="E50" s="1">
        <f t="shared" si="1"/>
        <v>3.9889000000000729E-3</v>
      </c>
      <c r="G50" s="1">
        <f t="shared" si="2"/>
        <v>3.3565694905332891E-3</v>
      </c>
      <c r="H50" s="1">
        <f t="shared" si="2"/>
        <v>1.2691014256671207E-2</v>
      </c>
    </row>
    <row r="51" spans="1:8" x14ac:dyDescent="0.2">
      <c r="A51" s="1">
        <v>3.1659039999999998</v>
      </c>
      <c r="B51" s="1">
        <v>0.64528569999999996</v>
      </c>
      <c r="D51" s="1">
        <f t="shared" si="0"/>
        <v>4.129999999999967E-4</v>
      </c>
      <c r="E51" s="1">
        <f t="shared" si="1"/>
        <v>2.633400000000008E-3</v>
      </c>
      <c r="G51" s="1">
        <f t="shared" si="2"/>
        <v>1.3139935541139341E-3</v>
      </c>
      <c r="H51" s="1">
        <f t="shared" si="2"/>
        <v>8.3783792382655497E-3</v>
      </c>
    </row>
    <row r="52" spans="1:8" x14ac:dyDescent="0.2">
      <c r="A52" s="1">
        <v>3.1656170000000001</v>
      </c>
      <c r="B52" s="1">
        <v>0.64415219999999995</v>
      </c>
      <c r="D52" s="1">
        <f t="shared" si="0"/>
        <v>1.2600000000029254E-4</v>
      </c>
      <c r="E52" s="1">
        <f t="shared" si="1"/>
        <v>1.4998999999999985E-3</v>
      </c>
      <c r="G52" s="1">
        <f t="shared" si="2"/>
        <v>4.008793893916257E-4</v>
      </c>
      <c r="H52" s="1">
        <f t="shared" si="2"/>
        <v>4.7720555249770053E-3</v>
      </c>
    </row>
    <row r="53" spans="1:8" x14ac:dyDescent="0.2">
      <c r="A53" s="1">
        <v>3.1655150000000001</v>
      </c>
      <c r="B53" s="1">
        <v>0.64332180000000005</v>
      </c>
      <c r="D53" s="1">
        <f t="shared" si="0"/>
        <v>2.4000000000246047E-5</v>
      </c>
      <c r="E53" s="1">
        <f t="shared" si="1"/>
        <v>6.6950000000010057E-4</v>
      </c>
      <c r="G53" s="1">
        <f t="shared" si="2"/>
        <v>7.6357978932343757E-5</v>
      </c>
      <c r="H53" s="1">
        <f t="shared" si="2"/>
        <v>2.1300694539453219E-3</v>
      </c>
    </row>
    <row r="54" spans="1:8" x14ac:dyDescent="0.2">
      <c r="A54" s="1">
        <v>3.1654930000000001</v>
      </c>
      <c r="B54" s="1">
        <v>0.6428199</v>
      </c>
      <c r="D54" s="1">
        <f t="shared" si="0"/>
        <v>2.0000000002795559E-6</v>
      </c>
      <c r="E54" s="1">
        <f t="shared" si="1"/>
        <v>1.6760000000004549E-4</v>
      </c>
      <c r="G54" s="1">
        <f t="shared" si="2"/>
        <v>6.3631649118528417E-6</v>
      </c>
      <c r="H54" s="1">
        <f t="shared" si="2"/>
        <v>5.3323321953887865E-4</v>
      </c>
    </row>
    <row r="55" spans="1:8" x14ac:dyDescent="0.2">
      <c r="A55" s="2">
        <v>3.1654909999999998</v>
      </c>
      <c r="B55" s="2">
        <v>0.64265229999999995</v>
      </c>
      <c r="D55" s="1">
        <f t="shared" si="0"/>
        <v>0</v>
      </c>
      <c r="E55" s="1">
        <f t="shared" si="1"/>
        <v>0</v>
      </c>
      <c r="G55" s="1">
        <f t="shared" si="2"/>
        <v>0</v>
      </c>
      <c r="H55" s="1">
        <f t="shared" si="2"/>
        <v>0</v>
      </c>
    </row>
    <row r="56" spans="1:8" x14ac:dyDescent="0.2">
      <c r="A56" s="1">
        <v>3.1654930000000001</v>
      </c>
      <c r="B56" s="1">
        <v>0.64247750000000003</v>
      </c>
      <c r="D56" s="1">
        <f t="shared" si="0"/>
        <v>2.0000000002795559E-6</v>
      </c>
      <c r="E56" s="1">
        <f t="shared" si="1"/>
        <v>-1.7479999999991946E-4</v>
      </c>
      <c r="G56" s="1">
        <f t="shared" si="2"/>
        <v>6.3631649118528417E-6</v>
      </c>
      <c r="H56" s="1">
        <f t="shared" si="2"/>
        <v>-5.5614061321794593E-4</v>
      </c>
    </row>
    <row r="57" spans="1:8" x14ac:dyDescent="0.2">
      <c r="A57" s="1">
        <v>3.1655169999999999</v>
      </c>
      <c r="B57" s="1">
        <v>0.64195369999999996</v>
      </c>
      <c r="D57" s="1">
        <f t="shared" si="0"/>
        <v>2.6000000000081513E-5</v>
      </c>
      <c r="E57" s="1">
        <f t="shared" si="1"/>
        <v>-6.9859999999999367E-4</v>
      </c>
      <c r="G57" s="1">
        <f t="shared" si="2"/>
        <v>8.2721143842783695E-5</v>
      </c>
      <c r="H57" s="1">
        <f t="shared" si="2"/>
        <v>-2.2226535033994994E-3</v>
      </c>
    </row>
    <row r="58" spans="1:8" x14ac:dyDescent="0.2">
      <c r="A58" s="1">
        <v>3.165619</v>
      </c>
      <c r="B58" s="1">
        <v>0.64108639999999995</v>
      </c>
      <c r="D58" s="1">
        <f t="shared" si="0"/>
        <v>1.2800000000012801E-4</v>
      </c>
      <c r="E58" s="1">
        <f t="shared" si="1"/>
        <v>-1.565900000000009E-3</v>
      </c>
      <c r="G58" s="1">
        <f t="shared" si="2"/>
        <v>4.0724255430206561E-4</v>
      </c>
      <c r="H58" s="1">
        <f t="shared" si="2"/>
        <v>-4.9820399670388316E-3</v>
      </c>
    </row>
    <row r="59" spans="1:8" x14ac:dyDescent="0.2">
      <c r="A59" s="1">
        <v>3.165886</v>
      </c>
      <c r="B59" s="1">
        <v>0.63989510000000005</v>
      </c>
      <c r="D59" s="1">
        <f t="shared" si="0"/>
        <v>3.9500000000014523E-4</v>
      </c>
      <c r="E59" s="1">
        <f t="shared" si="1"/>
        <v>-2.7571999999999042E-3</v>
      </c>
      <c r="G59" s="1">
        <f t="shared" si="2"/>
        <v>1.2567250699157359E-3</v>
      </c>
      <c r="H59" s="1">
        <f t="shared" si="2"/>
        <v>-8.7722591462538538E-3</v>
      </c>
    </row>
    <row r="60" spans="1:8" x14ac:dyDescent="0.2">
      <c r="A60" s="1">
        <v>3.1664300000000001</v>
      </c>
      <c r="B60" s="1">
        <v>0.63842549999999998</v>
      </c>
      <c r="D60" s="1">
        <f t="shared" si="0"/>
        <v>9.3900000000024519E-4</v>
      </c>
      <c r="E60" s="1">
        <f t="shared" si="1"/>
        <v>-4.226799999999975E-3</v>
      </c>
      <c r="G60" s="1">
        <f t="shared" si="2"/>
        <v>2.9875059256981016E-3</v>
      </c>
      <c r="H60" s="1">
        <f t="shared" si="2"/>
        <v>-1.3447912722829995E-2</v>
      </c>
    </row>
    <row r="61" spans="1:8" x14ac:dyDescent="0.2">
      <c r="A61" s="1">
        <v>3.1673589999999998</v>
      </c>
      <c r="B61" s="1">
        <v>0.63675479999999995</v>
      </c>
      <c r="D61" s="1">
        <f t="shared" si="0"/>
        <v>1.8679999999999808E-3</v>
      </c>
      <c r="E61" s="1">
        <f t="shared" si="1"/>
        <v>-5.8975E-3</v>
      </c>
      <c r="G61" s="1">
        <f t="shared" si="2"/>
        <v>5.9431960268397652E-3</v>
      </c>
      <c r="H61" s="1">
        <f t="shared" si="2"/>
        <v>-1.8763382531203361E-2</v>
      </c>
    </row>
    <row r="62" spans="1:8" x14ac:dyDescent="0.2">
      <c r="A62" s="1">
        <v>3.1687219999999998</v>
      </c>
      <c r="B62" s="1">
        <v>0.63495769999999996</v>
      </c>
      <c r="D62" s="1">
        <f t="shared" si="0"/>
        <v>3.2309999999999839E-3</v>
      </c>
      <c r="E62" s="1">
        <f t="shared" si="1"/>
        <v>-7.6945999999999959E-3</v>
      </c>
      <c r="G62" s="1">
        <f t="shared" si="2"/>
        <v>1.0279692913661339E-2</v>
      </c>
      <c r="H62" s="1">
        <f t="shared" si="2"/>
        <v>-2.448100436194952E-2</v>
      </c>
    </row>
    <row r="63" spans="1:8" x14ac:dyDescent="0.2">
      <c r="A63" s="1">
        <v>3.1704819999999998</v>
      </c>
      <c r="B63" s="1">
        <v>0.63304819999999995</v>
      </c>
      <c r="D63" s="1">
        <f t="shared" si="0"/>
        <v>4.9909999999999677E-3</v>
      </c>
      <c r="E63" s="1">
        <f t="shared" si="1"/>
        <v>-9.6041000000000043E-3</v>
      </c>
      <c r="G63" s="1">
        <f t="shared" si="2"/>
        <v>1.5879278035309089E-2</v>
      </c>
      <c r="H63" s="1">
        <f t="shared" si="2"/>
        <v>-3.0556236060691865E-2</v>
      </c>
    </row>
    <row r="64" spans="1:8" x14ac:dyDescent="0.2">
      <c r="A64" s="1">
        <v>3.1725979999999998</v>
      </c>
      <c r="B64" s="1">
        <v>0.63101399999999996</v>
      </c>
      <c r="D64" s="1">
        <f t="shared" si="0"/>
        <v>7.1069999999999744E-3</v>
      </c>
      <c r="E64" s="1">
        <f t="shared" si="1"/>
        <v>-1.163829999999999E-2</v>
      </c>
      <c r="G64" s="1">
        <f t="shared" si="2"/>
        <v>2.2611506511108402E-2</v>
      </c>
      <c r="H64" s="1">
        <f t="shared" si="2"/>
        <v>-3.7028211091632707E-2</v>
      </c>
    </row>
    <row r="65" spans="1:8" x14ac:dyDescent="0.2">
      <c r="A65" s="1">
        <v>3.1750940000000001</v>
      </c>
      <c r="B65" s="1">
        <v>0.62890060000000003</v>
      </c>
      <c r="D65" s="1">
        <f t="shared" si="0"/>
        <v>9.6030000000002502E-3</v>
      </c>
      <c r="E65" s="1">
        <f t="shared" si="1"/>
        <v>-1.3751699999999922E-2</v>
      </c>
      <c r="G65" s="1">
        <f t="shared" si="2"/>
        <v>3.0552736319991617E-2</v>
      </c>
      <c r="H65" s="1">
        <f t="shared" si="2"/>
        <v>-4.3752167453047525E-2</v>
      </c>
    </row>
    <row r="66" spans="1:8" x14ac:dyDescent="0.2">
      <c r="A66" s="1">
        <v>3.1780219999999999</v>
      </c>
      <c r="B66" s="1">
        <v>0.62680290000000005</v>
      </c>
      <c r="D66" s="1">
        <f t="shared" si="0"/>
        <v>1.253100000000007E-2</v>
      </c>
      <c r="E66" s="1">
        <f t="shared" si="1"/>
        <v>-1.5849399999999902E-2</v>
      </c>
      <c r="G66" s="1">
        <f t="shared" si="2"/>
        <v>3.9868409749641474E-2</v>
      </c>
      <c r="H66" s="1">
        <f t="shared" si="2"/>
        <v>-5.0426172969911434E-2</v>
      </c>
    </row>
    <row r="67" spans="1:8" x14ac:dyDescent="0.2">
      <c r="A67" s="1">
        <v>3.1813850000000001</v>
      </c>
      <c r="B67" s="1">
        <v>0.62476949999999998</v>
      </c>
      <c r="D67" s="1">
        <f t="shared" si="0"/>
        <v>1.5894000000000297E-2</v>
      </c>
      <c r="E67" s="1">
        <f t="shared" si="1"/>
        <v>-1.7882799999999976E-2</v>
      </c>
      <c r="G67" s="1">
        <f t="shared" si="2"/>
        <v>5.0568071547427172E-2</v>
      </c>
      <c r="H67" s="1">
        <f t="shared" si="2"/>
        <v>-5.6895602734888175E-2</v>
      </c>
    </row>
    <row r="68" spans="1:8" x14ac:dyDescent="0.2">
      <c r="A68" s="1">
        <v>3.1851440000000002</v>
      </c>
      <c r="B68" s="1">
        <v>0.622776</v>
      </c>
      <c r="D68" s="1">
        <f t="shared" si="0"/>
        <v>1.9653000000000365E-2</v>
      </c>
      <c r="E68" s="1">
        <f t="shared" si="1"/>
        <v>-1.9876299999999958E-2</v>
      </c>
      <c r="G68" s="1">
        <f t="shared" si="2"/>
        <v>6.2527639997583123E-2</v>
      </c>
      <c r="H68" s="1">
        <f t="shared" si="2"/>
        <v>-6.3238087359890893E-2</v>
      </c>
    </row>
    <row r="69" spans="1:8" x14ac:dyDescent="0.2">
      <c r="A69" s="1">
        <v>3.18927</v>
      </c>
      <c r="B69" s="1">
        <v>0.62080040000000003</v>
      </c>
      <c r="D69" s="1">
        <f t="shared" si="0"/>
        <v>2.3779000000000217E-2</v>
      </c>
      <c r="E69" s="1">
        <f t="shared" si="1"/>
        <v>-2.1851899999999924E-2</v>
      </c>
      <c r="G69" s="1">
        <f t="shared" si="2"/>
        <v>7.5654849208900171E-2</v>
      </c>
      <c r="H69" s="1">
        <f t="shared" si="2"/>
        <v>-6.9523621658940452E-2</v>
      </c>
    </row>
    <row r="70" spans="1:8" x14ac:dyDescent="0.2">
      <c r="A70" s="1">
        <v>3.1937630000000001</v>
      </c>
      <c r="B70" s="1">
        <v>0.61887259999999999</v>
      </c>
      <c r="D70" s="1">
        <f t="shared" si="0"/>
        <v>2.8272000000000297E-2</v>
      </c>
      <c r="E70" s="1">
        <f t="shared" si="1"/>
        <v>-2.3779699999999959E-2</v>
      </c>
      <c r="G70" s="1">
        <f t="shared" si="2"/>
        <v>8.9949699181379725E-2</v>
      </c>
      <c r="H70" s="1">
        <f t="shared" si="2"/>
        <v>-7.5657076316618194E-2</v>
      </c>
    </row>
    <row r="71" spans="1:8" x14ac:dyDescent="0.2">
      <c r="A71" s="1">
        <v>3.1986300000000001</v>
      </c>
      <c r="B71" s="1">
        <v>0.61704099999999995</v>
      </c>
      <c r="D71" s="1">
        <f t="shared" ref="D71:D104" si="3">A71-$A$55</f>
        <v>3.3139000000000252E-2</v>
      </c>
      <c r="E71" s="1">
        <f t="shared" ref="E71:E104" si="4">B71-$B$55</f>
        <v>-2.5611300000000004E-2</v>
      </c>
      <c r="G71" s="1">
        <f t="shared" ref="G71:H104" si="5">D71/$H$2</f>
        <v>0.10543446099220904</v>
      </c>
      <c r="H71" s="1">
        <f t="shared" si="5"/>
        <v>-8.1484462742078628E-2</v>
      </c>
    </row>
    <row r="72" spans="1:8" x14ac:dyDescent="0.2">
      <c r="A72" s="1">
        <v>3.2038609999999998</v>
      </c>
      <c r="B72" s="1">
        <v>0.61532819999999999</v>
      </c>
      <c r="D72" s="1">
        <f t="shared" si="3"/>
        <v>3.8370000000000015E-2</v>
      </c>
      <c r="E72" s="1">
        <f t="shared" si="4"/>
        <v>-2.7324099999999962E-2</v>
      </c>
      <c r="G72" s="1">
        <f t="shared" si="5"/>
        <v>0.12207731881683309</v>
      </c>
      <c r="H72" s="1">
        <f t="shared" si="5"/>
        <v>-8.6933877171827559E-2</v>
      </c>
    </row>
    <row r="73" spans="1:8" x14ac:dyDescent="0.2">
      <c r="A73" s="1">
        <v>3.2094390000000002</v>
      </c>
      <c r="B73" s="1">
        <v>0.61372649999999995</v>
      </c>
      <c r="D73" s="1">
        <f t="shared" si="3"/>
        <v>4.394800000000032E-2</v>
      </c>
      <c r="E73" s="1">
        <f t="shared" si="4"/>
        <v>-2.8925800000000002E-2</v>
      </c>
      <c r="G73" s="1">
        <f t="shared" si="5"/>
        <v>0.13982418575351102</v>
      </c>
      <c r="H73" s="1">
        <f t="shared" si="5"/>
        <v>-9.2029817790772725E-2</v>
      </c>
    </row>
    <row r="74" spans="1:8" x14ac:dyDescent="0.2">
      <c r="A74" s="1">
        <v>3.2153450000000001</v>
      </c>
      <c r="B74" s="1">
        <v>0.61221460000000005</v>
      </c>
      <c r="D74" s="1">
        <f t="shared" si="3"/>
        <v>4.9854000000000287E-2</v>
      </c>
      <c r="E74" s="1">
        <f t="shared" si="4"/>
        <v>-3.0437699999999901E-2</v>
      </c>
      <c r="G74" s="1">
        <f t="shared" si="5"/>
        <v>0.15861461173558586</v>
      </c>
      <c r="H74" s="1">
        <f t="shared" si="5"/>
        <v>-9.6840052305215196E-2</v>
      </c>
    </row>
    <row r="75" spans="1:8" x14ac:dyDescent="0.2">
      <c r="A75" s="1">
        <v>3.221565</v>
      </c>
      <c r="B75" s="1">
        <v>0.61077879999999996</v>
      </c>
      <c r="D75" s="1">
        <f t="shared" si="3"/>
        <v>5.6074000000000179E-2</v>
      </c>
      <c r="E75" s="1">
        <f t="shared" si="4"/>
        <v>-3.1873499999999999E-2</v>
      </c>
      <c r="G75" s="1">
        <f t="shared" si="5"/>
        <v>0.17840405460868175</v>
      </c>
      <c r="H75" s="1">
        <f t="shared" si="5"/>
        <v>-0.10140816839479615</v>
      </c>
    </row>
    <row r="76" spans="1:8" x14ac:dyDescent="0.2">
      <c r="A76" s="1">
        <v>3.2280880000000001</v>
      </c>
      <c r="B76" s="1">
        <v>0.60941880000000004</v>
      </c>
      <c r="D76" s="1">
        <f t="shared" si="3"/>
        <v>6.2597000000000236E-2</v>
      </c>
      <c r="E76" s="1">
        <f t="shared" si="4"/>
        <v>-3.3233499999999916E-2</v>
      </c>
      <c r="G76" s="1">
        <f t="shared" si="5"/>
        <v>0.19915751696578909</v>
      </c>
      <c r="H76" s="1">
        <f t="shared" si="5"/>
        <v>-0.10573512053425101</v>
      </c>
    </row>
    <row r="77" spans="1:8" x14ac:dyDescent="0.2">
      <c r="A77" s="1">
        <v>3.2349079999999999</v>
      </c>
      <c r="B77" s="1">
        <v>0.60814570000000001</v>
      </c>
      <c r="D77" s="1">
        <f t="shared" si="3"/>
        <v>6.9417000000000062E-2</v>
      </c>
      <c r="E77" s="1">
        <f t="shared" si="4"/>
        <v>-3.4506599999999943E-2</v>
      </c>
      <c r="G77" s="1">
        <f t="shared" si="5"/>
        <v>0.22085590931217378</v>
      </c>
      <c r="H77" s="1">
        <f t="shared" si="5"/>
        <v>-0.10978559315832484</v>
      </c>
    </row>
    <row r="78" spans="1:8" x14ac:dyDescent="0.2">
      <c r="A78" s="1">
        <v>3.242016</v>
      </c>
      <c r="B78" s="1">
        <v>0.60697719999999999</v>
      </c>
      <c r="D78" s="1">
        <f t="shared" si="3"/>
        <v>7.6525000000000176E-2</v>
      </c>
      <c r="E78" s="1">
        <f t="shared" si="4"/>
        <v>-3.567509999999996E-2</v>
      </c>
      <c r="G78" s="1">
        <f t="shared" si="5"/>
        <v>0.24347059740573809</v>
      </c>
      <c r="H78" s="1">
        <f t="shared" si="5"/>
        <v>-0.11350327225755527</v>
      </c>
    </row>
    <row r="79" spans="1:8" x14ac:dyDescent="0.2">
      <c r="A79" s="1">
        <v>3.2494049999999999</v>
      </c>
      <c r="B79" s="1">
        <v>0.60593540000000001</v>
      </c>
      <c r="D79" s="1">
        <f t="shared" si="3"/>
        <v>8.3914000000000044E-2</v>
      </c>
      <c r="E79" s="1">
        <f t="shared" si="4"/>
        <v>-3.6716899999999941E-2</v>
      </c>
      <c r="G79" s="1">
        <f t="shared" si="5"/>
        <v>0.26697931016929199</v>
      </c>
      <c r="H79" s="1">
        <f t="shared" si="5"/>
        <v>-0.11681784485967606</v>
      </c>
    </row>
    <row r="80" spans="1:8" x14ac:dyDescent="0.2">
      <c r="A80" s="1">
        <v>3.257066</v>
      </c>
      <c r="B80" s="1">
        <v>0.60504559999999996</v>
      </c>
      <c r="D80" s="1">
        <f t="shared" si="3"/>
        <v>9.1575000000000184E-2</v>
      </c>
      <c r="E80" s="1">
        <f t="shared" si="4"/>
        <v>-3.7606699999999993E-2</v>
      </c>
      <c r="G80" s="1">
        <f t="shared" si="5"/>
        <v>0.29135341336073778</v>
      </c>
      <c r="H80" s="1">
        <f t="shared" si="5"/>
        <v>-0.11964881692856384</v>
      </c>
    </row>
    <row r="81" spans="1:8" x14ac:dyDescent="0.2">
      <c r="A81" s="1">
        <v>3.2649910000000002</v>
      </c>
      <c r="B81" s="1">
        <v>0.60433380000000003</v>
      </c>
      <c r="D81" s="1">
        <f t="shared" si="3"/>
        <v>9.9500000000000366E-2</v>
      </c>
      <c r="E81" s="1">
        <f t="shared" si="4"/>
        <v>-3.8318499999999922E-2</v>
      </c>
      <c r="G81" s="1">
        <f t="shared" si="5"/>
        <v>0.31656745432043087</v>
      </c>
      <c r="H81" s="1">
        <f t="shared" si="5"/>
        <v>-0.12191346732037549</v>
      </c>
    </row>
    <row r="82" spans="1:8" x14ac:dyDescent="0.2">
      <c r="A82" s="1">
        <v>3.2731669999999999</v>
      </c>
      <c r="B82" s="1">
        <v>0.60382340000000001</v>
      </c>
      <c r="D82" s="1">
        <f t="shared" si="3"/>
        <v>0.1076760000000001</v>
      </c>
      <c r="E82" s="1">
        <f t="shared" si="4"/>
        <v>-3.8828899999999944E-2</v>
      </c>
      <c r="G82" s="1">
        <f t="shared" si="5"/>
        <v>0.34258007247644851</v>
      </c>
      <c r="H82" s="1">
        <f t="shared" si="5"/>
        <v>-0.12353734700565343</v>
      </c>
    </row>
    <row r="83" spans="1:8" x14ac:dyDescent="0.2">
      <c r="A83" s="1">
        <v>3.2815799999999999</v>
      </c>
      <c r="B83" s="1">
        <v>0.60353270000000003</v>
      </c>
      <c r="D83" s="1">
        <f t="shared" si="3"/>
        <v>0.11608900000000011</v>
      </c>
      <c r="E83" s="1">
        <f t="shared" si="4"/>
        <v>-3.9119599999999921E-2</v>
      </c>
      <c r="G83" s="1">
        <f t="shared" si="5"/>
        <v>0.36934672567441607</v>
      </c>
      <c r="H83" s="1">
        <f t="shared" si="5"/>
        <v>-0.12446223302546189</v>
      </c>
    </row>
    <row r="84" spans="1:8" x14ac:dyDescent="0.2">
      <c r="A84" s="1">
        <v>3.290216</v>
      </c>
      <c r="B84" s="1">
        <v>0.60347720000000005</v>
      </c>
      <c r="D84" s="1">
        <f t="shared" si="3"/>
        <v>0.1247250000000002</v>
      </c>
      <c r="E84" s="1">
        <f t="shared" si="4"/>
        <v>-3.9175099999999907E-2</v>
      </c>
      <c r="G84" s="1">
        <f t="shared" si="5"/>
        <v>0.3968228717599564</v>
      </c>
      <c r="H84" s="1">
        <f t="shared" si="5"/>
        <v>-0.12463881085174107</v>
      </c>
    </row>
    <row r="85" spans="1:8" x14ac:dyDescent="0.2">
      <c r="A85" s="1">
        <v>3.2990590000000002</v>
      </c>
      <c r="B85" s="1">
        <v>0.6036705</v>
      </c>
      <c r="D85" s="1">
        <f t="shared" si="3"/>
        <v>0.13356800000000035</v>
      </c>
      <c r="E85" s="1">
        <f t="shared" si="4"/>
        <v>-3.8981799999999955E-2</v>
      </c>
      <c r="G85" s="1">
        <f t="shared" si="5"/>
        <v>0.42495760541378158</v>
      </c>
      <c r="H85" s="1">
        <f t="shared" si="5"/>
        <v>-0.12402381096309661</v>
      </c>
    </row>
    <row r="86" spans="1:8" x14ac:dyDescent="0.2">
      <c r="A86" s="1">
        <v>3.308093</v>
      </c>
      <c r="B86" s="1">
        <v>0.60412790000000005</v>
      </c>
      <c r="D86" s="1">
        <f t="shared" si="3"/>
        <v>0.14260200000000012</v>
      </c>
      <c r="E86" s="1">
        <f t="shared" si="4"/>
        <v>-3.8524399999999903E-2</v>
      </c>
      <c r="G86" s="1">
        <f t="shared" si="5"/>
        <v>0.45370002131660259</v>
      </c>
      <c r="H86" s="1">
        <f t="shared" si="5"/>
        <v>-0.12256855514795911</v>
      </c>
    </row>
    <row r="87" spans="1:8" x14ac:dyDescent="0.2">
      <c r="A87" s="1">
        <v>3.3172999999999999</v>
      </c>
      <c r="B87" s="1">
        <v>0.60486790000000001</v>
      </c>
      <c r="D87" s="1">
        <f t="shared" si="3"/>
        <v>0.15180900000000008</v>
      </c>
      <c r="E87" s="1">
        <f t="shared" si="4"/>
        <v>-3.778439999999994E-2</v>
      </c>
      <c r="G87" s="1">
        <f t="shared" si="5"/>
        <v>0.48299285098422251</v>
      </c>
      <c r="H87" s="1">
        <f t="shared" si="5"/>
        <v>-0.12021418413090278</v>
      </c>
    </row>
    <row r="88" spans="1:8" x14ac:dyDescent="0.2">
      <c r="A88" s="1">
        <v>3.3266589999999998</v>
      </c>
      <c r="B88" s="1">
        <v>0.60591139999999999</v>
      </c>
      <c r="D88" s="1">
        <f t="shared" si="3"/>
        <v>0.16116799999999998</v>
      </c>
      <c r="E88" s="1">
        <f t="shared" si="4"/>
        <v>-3.6740899999999965E-2</v>
      </c>
      <c r="G88" s="1">
        <f t="shared" si="5"/>
        <v>0.51276928118507548</v>
      </c>
      <c r="H88" s="1">
        <f t="shared" si="5"/>
        <v>-0.11689420283860769</v>
      </c>
    </row>
    <row r="89" spans="1:8" x14ac:dyDescent="0.2">
      <c r="A89" s="1">
        <v>3.3361499999999999</v>
      </c>
      <c r="B89" s="1">
        <v>0.60728059999999995</v>
      </c>
      <c r="D89" s="1">
        <f t="shared" si="3"/>
        <v>0.17065900000000012</v>
      </c>
      <c r="E89" s="1">
        <f t="shared" si="4"/>
        <v>-3.5371700000000006E-2</v>
      </c>
      <c r="G89" s="1">
        <f t="shared" si="5"/>
        <v>0.54296568027005276</v>
      </c>
      <c r="H89" s="1">
        <f t="shared" si="5"/>
        <v>-0.11253798014056227</v>
      </c>
    </row>
    <row r="90" spans="1:8" x14ac:dyDescent="0.2">
      <c r="A90" s="1">
        <v>3.3457479999999999</v>
      </c>
      <c r="B90" s="1">
        <v>0.60899939999999997</v>
      </c>
      <c r="D90" s="1">
        <f t="shared" si="3"/>
        <v>0.18025700000000011</v>
      </c>
      <c r="E90" s="1">
        <f t="shared" si="4"/>
        <v>-3.3652899999999986E-2</v>
      </c>
      <c r="G90" s="1">
        <f t="shared" si="5"/>
        <v>0.5735025086777662</v>
      </c>
      <c r="H90" s="1">
        <f t="shared" si="5"/>
        <v>-0.10706947621608025</v>
      </c>
    </row>
    <row r="91" spans="1:8" x14ac:dyDescent="0.2">
      <c r="A91" s="1">
        <v>3.355426</v>
      </c>
      <c r="B91" s="1">
        <v>0.61109420000000003</v>
      </c>
      <c r="D91" s="1">
        <f t="shared" si="3"/>
        <v>0.18993500000000019</v>
      </c>
      <c r="E91" s="1">
        <f t="shared" si="4"/>
        <v>-3.1558099999999922E-2</v>
      </c>
      <c r="G91" s="1">
        <f t="shared" si="5"/>
        <v>0.6042938636819184</v>
      </c>
      <c r="H91" s="1">
        <f t="shared" si="5"/>
        <v>-0.10040469728833697</v>
      </c>
    </row>
    <row r="92" spans="1:8" x14ac:dyDescent="0.2">
      <c r="A92" s="1">
        <v>3.365154</v>
      </c>
      <c r="B92" s="1">
        <v>0.61359450000000004</v>
      </c>
      <c r="D92" s="1">
        <f t="shared" si="3"/>
        <v>0.19966300000000015</v>
      </c>
      <c r="E92" s="1">
        <f t="shared" si="4"/>
        <v>-2.9057799999999911E-2</v>
      </c>
      <c r="G92" s="1">
        <f t="shared" si="5"/>
        <v>0.63524429780884428</v>
      </c>
      <c r="H92" s="1">
        <f t="shared" si="5"/>
        <v>-9.2449786674896034E-2</v>
      </c>
    </row>
    <row r="93" spans="1:8" x14ac:dyDescent="0.2">
      <c r="A93" s="1">
        <v>3.3748939999999998</v>
      </c>
      <c r="B93" s="1">
        <v>0.61653579999999997</v>
      </c>
      <c r="D93" s="1">
        <f t="shared" si="3"/>
        <v>0.20940300000000001</v>
      </c>
      <c r="E93" s="1">
        <f t="shared" si="4"/>
        <v>-2.6116499999999987E-2</v>
      </c>
      <c r="G93" s="1">
        <f t="shared" si="5"/>
        <v>0.66623291092523562</v>
      </c>
      <c r="H93" s="1">
        <f t="shared" si="5"/>
        <v>-8.3091798198587932E-2</v>
      </c>
    </row>
    <row r="94" spans="1:8" x14ac:dyDescent="0.2">
      <c r="A94" s="1">
        <v>3.3846039999999999</v>
      </c>
      <c r="B94" s="1">
        <v>0.61995909999999999</v>
      </c>
      <c r="D94" s="1">
        <f t="shared" si="3"/>
        <v>0.21911300000000011</v>
      </c>
      <c r="E94" s="1">
        <f t="shared" si="4"/>
        <v>-2.2693199999999969E-2</v>
      </c>
      <c r="G94" s="1">
        <f t="shared" si="5"/>
        <v>0.69712607656796333</v>
      </c>
      <c r="H94" s="1">
        <f t="shared" si="5"/>
        <v>-7.2200286978737344E-2</v>
      </c>
    </row>
    <row r="95" spans="1:8" x14ac:dyDescent="0.2">
      <c r="A95" s="1">
        <v>3.3942299999999999</v>
      </c>
      <c r="B95" s="1">
        <v>0.62390950000000001</v>
      </c>
      <c r="D95" s="1">
        <f t="shared" si="3"/>
        <v>0.22873900000000003</v>
      </c>
      <c r="E95" s="1">
        <f t="shared" si="4"/>
        <v>-1.8742799999999948E-2</v>
      </c>
      <c r="G95" s="1">
        <f t="shared" si="5"/>
        <v>0.72775198928442997</v>
      </c>
      <c r="H95" s="1">
        <f t="shared" si="5"/>
        <v>-5.9631763646602352E-2</v>
      </c>
    </row>
    <row r="96" spans="1:8" x14ac:dyDescent="0.2">
      <c r="A96" s="1">
        <v>3.4037099999999998</v>
      </c>
      <c r="B96" s="1">
        <v>0.6284343</v>
      </c>
      <c r="D96" s="1">
        <f t="shared" si="3"/>
        <v>0.23821899999999996</v>
      </c>
      <c r="E96" s="1">
        <f t="shared" si="4"/>
        <v>-1.4217999999999953E-2</v>
      </c>
      <c r="G96" s="1">
        <f t="shared" si="5"/>
        <v>0.75791339096239629</v>
      </c>
      <c r="H96" s="1">
        <f t="shared" si="5"/>
        <v>-4.5235739352038742E-2</v>
      </c>
    </row>
    <row r="97" spans="1:8" x14ac:dyDescent="0.2">
      <c r="A97" s="1">
        <v>3.4129700000000001</v>
      </c>
      <c r="B97" s="1">
        <v>0.63357850000000004</v>
      </c>
      <c r="D97" s="1">
        <f t="shared" si="3"/>
        <v>0.24747900000000023</v>
      </c>
      <c r="E97" s="1">
        <f t="shared" si="4"/>
        <v>-9.0737999999999097E-3</v>
      </c>
      <c r="G97" s="1">
        <f t="shared" si="5"/>
        <v>0.78737484450015782</v>
      </c>
      <c r="H97" s="1">
        <f t="shared" si="5"/>
        <v>-2.8869042884549615E-2</v>
      </c>
    </row>
    <row r="98" spans="1:8" x14ac:dyDescent="0.2">
      <c r="A98" s="1">
        <v>3.421926</v>
      </c>
      <c r="B98" s="1">
        <v>0.63937909999999998</v>
      </c>
      <c r="D98" s="1">
        <f t="shared" si="3"/>
        <v>0.25643500000000019</v>
      </c>
      <c r="E98" s="1">
        <f t="shared" si="4"/>
        <v>-3.2731999999999761E-3</v>
      </c>
      <c r="G98" s="1">
        <f t="shared" si="5"/>
        <v>0.81586909697145182</v>
      </c>
      <c r="H98" s="1">
        <f t="shared" si="5"/>
        <v>-1.0413955693282644E-2</v>
      </c>
    </row>
    <row r="99" spans="1:8" x14ac:dyDescent="0.2">
      <c r="A99" s="1">
        <v>3.4304860000000001</v>
      </c>
      <c r="B99" s="1">
        <v>0.64585999999999999</v>
      </c>
      <c r="D99" s="1">
        <f t="shared" si="3"/>
        <v>0.26499500000000031</v>
      </c>
      <c r="E99" s="1">
        <f t="shared" si="4"/>
        <v>3.2077000000000355E-3</v>
      </c>
      <c r="G99" s="1">
        <f t="shared" si="5"/>
        <v>0.84310344279037563</v>
      </c>
      <c r="H99" s="1">
        <f t="shared" si="5"/>
        <v>1.020556204244878E-2</v>
      </c>
    </row>
    <row r="100" spans="1:8" x14ac:dyDescent="0.2">
      <c r="A100" s="1">
        <v>3.4385569999999999</v>
      </c>
      <c r="B100" s="1">
        <v>0.65302539999999998</v>
      </c>
      <c r="D100" s="1">
        <f t="shared" si="3"/>
        <v>0.27306600000000003</v>
      </c>
      <c r="E100" s="1">
        <f t="shared" si="4"/>
        <v>1.0373100000000024E-2</v>
      </c>
      <c r="G100" s="1">
        <f t="shared" si="5"/>
        <v>0.86878199478856755</v>
      </c>
      <c r="H100" s="1">
        <f t="shared" si="5"/>
        <v>3.3002872968957361E-2</v>
      </c>
    </row>
    <row r="101" spans="1:8" x14ac:dyDescent="0.2">
      <c r="A101" s="1">
        <v>3.4460489999999999</v>
      </c>
      <c r="B101" s="1">
        <v>0.66085530000000003</v>
      </c>
      <c r="D101" s="1">
        <f t="shared" si="3"/>
        <v>0.28055800000000009</v>
      </c>
      <c r="E101" s="1">
        <f t="shared" si="4"/>
        <v>1.820300000000008E-2</v>
      </c>
      <c r="G101" s="1">
        <f t="shared" si="5"/>
        <v>0.89261841054503666</v>
      </c>
      <c r="H101" s="1">
        <f t="shared" si="5"/>
        <v>5.7914345437133745E-2</v>
      </c>
    </row>
    <row r="102" spans="1:8" x14ac:dyDescent="0.2">
      <c r="A102" s="1">
        <v>3.4528889999999999</v>
      </c>
      <c r="B102" s="1">
        <v>0.6693038</v>
      </c>
      <c r="D102" s="1">
        <f t="shared" si="3"/>
        <v>0.28739800000000004</v>
      </c>
      <c r="E102" s="1">
        <f t="shared" si="4"/>
        <v>2.665150000000005E-2</v>
      </c>
      <c r="G102" s="1">
        <f t="shared" si="5"/>
        <v>0.91438043454053142</v>
      </c>
      <c r="H102" s="1">
        <f t="shared" si="5"/>
        <v>8.4793944812270844E-2</v>
      </c>
    </row>
    <row r="103" spans="1:8" x14ac:dyDescent="0.2">
      <c r="A103" s="1">
        <v>3.4590299999999998</v>
      </c>
      <c r="B103" s="1">
        <v>0.67830100000000004</v>
      </c>
      <c r="D103" s="1">
        <f t="shared" si="3"/>
        <v>0.29353899999999999</v>
      </c>
      <c r="E103" s="1">
        <f t="shared" si="4"/>
        <v>3.5648700000000089E-2</v>
      </c>
      <c r="G103" s="1">
        <f t="shared" si="5"/>
        <v>0.9339185323996444</v>
      </c>
      <c r="H103" s="1">
        <f t="shared" si="5"/>
        <v>0.11341927848073097</v>
      </c>
    </row>
    <row r="104" spans="1:8" x14ac:dyDescent="0.2">
      <c r="A104" s="1">
        <v>3.4644529999999998</v>
      </c>
      <c r="B104" s="1">
        <v>0.68776170000000003</v>
      </c>
      <c r="D104" s="1">
        <f t="shared" si="3"/>
        <v>0.29896199999999995</v>
      </c>
      <c r="E104" s="1">
        <f t="shared" si="4"/>
        <v>4.5109400000000077E-2</v>
      </c>
      <c r="G104" s="1">
        <f t="shared" si="5"/>
        <v>0.95117225405572159</v>
      </c>
      <c r="H104" s="1">
        <f t="shared" si="5"/>
        <v>0.14351927561730671</v>
      </c>
    </row>
    <row r="105" spans="1:8" x14ac:dyDescent="0.2">
      <c r="A105" s="1" t="s">
        <v>3</v>
      </c>
      <c r="D105" s="1" t="s">
        <v>3</v>
      </c>
      <c r="G105" s="1" t="s">
        <v>3</v>
      </c>
    </row>
    <row r="106" spans="1:8" x14ac:dyDescent="0.2">
      <c r="A106" s="1" t="s">
        <v>0</v>
      </c>
      <c r="B106" s="1" t="s">
        <v>1</v>
      </c>
      <c r="D106" s="1" t="s">
        <v>6</v>
      </c>
      <c r="E106" s="1" t="s">
        <v>7</v>
      </c>
      <c r="G106" s="1" t="s">
        <v>6</v>
      </c>
      <c r="H106" s="1" t="s">
        <v>7</v>
      </c>
    </row>
    <row r="107" spans="1:8" x14ac:dyDescent="0.2">
      <c r="A107" s="1">
        <v>3.4782009999999999</v>
      </c>
      <c r="B107" s="1">
        <v>0.79749720000000002</v>
      </c>
      <c r="D107" s="1">
        <f t="shared" ref="D107:D170" si="6">A107-$A$55</f>
        <v>0.31271000000000004</v>
      </c>
      <c r="E107" s="1">
        <f>B107-$B$55</f>
        <v>0.15484490000000006</v>
      </c>
      <c r="G107" s="1">
        <f>D107/$H$2</f>
        <v>0.99491264965368431</v>
      </c>
      <c r="H107" s="1">
        <f>E107/$H$2</f>
        <v>0.49265181716081941</v>
      </c>
    </row>
    <row r="108" spans="1:8" x14ac:dyDescent="0.2">
      <c r="A108" s="1">
        <v>3.4780890000000002</v>
      </c>
      <c r="B108" s="1">
        <v>0.79343889999999995</v>
      </c>
      <c r="D108" s="1">
        <f t="shared" si="6"/>
        <v>0.31259800000000038</v>
      </c>
      <c r="E108" s="1">
        <f t="shared" ref="E108:E171" si="7">B108-$B$55</f>
        <v>0.15078659999999999</v>
      </c>
      <c r="G108" s="1">
        <f t="shared" ref="G108:G171" si="8">D108/$H$2</f>
        <v>0.99455631241867148</v>
      </c>
      <c r="H108" s="1">
        <f t="shared" ref="H108:H171" si="9">E108/$H$2</f>
        <v>0.47974000108173775</v>
      </c>
    </row>
    <row r="109" spans="1:8" x14ac:dyDescent="0.2">
      <c r="A109" s="1">
        <v>3.477779</v>
      </c>
      <c r="B109" s="1">
        <v>0.78939490000000001</v>
      </c>
      <c r="D109" s="1">
        <f t="shared" si="6"/>
        <v>0.31228800000000012</v>
      </c>
      <c r="E109" s="1">
        <f t="shared" si="7"/>
        <v>0.14674260000000006</v>
      </c>
      <c r="G109" s="1">
        <f t="shared" si="8"/>
        <v>0.99357002185747134</v>
      </c>
      <c r="H109" s="1">
        <f t="shared" si="9"/>
        <v>0.46687368163176995</v>
      </c>
    </row>
    <row r="110" spans="1:8" x14ac:dyDescent="0.2">
      <c r="A110" s="1">
        <v>3.4772880000000002</v>
      </c>
      <c r="B110" s="1">
        <v>0.7853774</v>
      </c>
      <c r="D110" s="1">
        <f t="shared" si="6"/>
        <v>0.31179700000000032</v>
      </c>
      <c r="E110" s="1">
        <f t="shared" si="7"/>
        <v>0.14272510000000005</v>
      </c>
      <c r="G110" s="1">
        <f t="shared" si="8"/>
        <v>0.99200786487183046</v>
      </c>
      <c r="H110" s="1">
        <f t="shared" si="9"/>
        <v>0.45409167411687218</v>
      </c>
    </row>
    <row r="111" spans="1:8" x14ac:dyDescent="0.2">
      <c r="A111" s="1">
        <v>3.476629</v>
      </c>
      <c r="B111" s="1">
        <v>0.78139650000000005</v>
      </c>
      <c r="D111" s="1">
        <f t="shared" si="6"/>
        <v>0.31113800000000014</v>
      </c>
      <c r="E111" s="1">
        <f t="shared" si="7"/>
        <v>0.1387442000000001</v>
      </c>
      <c r="G111" s="1">
        <f t="shared" si="8"/>
        <v>0.98991120203366745</v>
      </c>
      <c r="H111" s="1">
        <f t="shared" si="9"/>
        <v>0.4414261125198452</v>
      </c>
    </row>
    <row r="112" spans="1:8" x14ac:dyDescent="0.2">
      <c r="A112" s="1">
        <v>3.4758170000000002</v>
      </c>
      <c r="B112" s="1">
        <v>0.77746099999999996</v>
      </c>
      <c r="D112" s="1">
        <f t="shared" si="6"/>
        <v>0.31032600000000032</v>
      </c>
      <c r="E112" s="1">
        <f t="shared" si="7"/>
        <v>0.1348087</v>
      </c>
      <c r="G112" s="1">
        <f t="shared" si="8"/>
        <v>0.9873277570798169</v>
      </c>
      <c r="H112" s="1">
        <f t="shared" si="9"/>
        <v>0.42890499476629662</v>
      </c>
    </row>
    <row r="113" spans="1:8" x14ac:dyDescent="0.2">
      <c r="A113" s="1">
        <v>3.474866</v>
      </c>
      <c r="B113" s="1">
        <v>0.77357799999999999</v>
      </c>
      <c r="D113" s="1">
        <f t="shared" si="6"/>
        <v>0.30937500000000018</v>
      </c>
      <c r="E113" s="1">
        <f t="shared" si="7"/>
        <v>0.13092570000000003</v>
      </c>
      <c r="G113" s="1">
        <f t="shared" si="8"/>
        <v>0.98430207216465326</v>
      </c>
      <c r="H113" s="1">
        <f t="shared" si="9"/>
        <v>0.41655091009166129</v>
      </c>
    </row>
    <row r="114" spans="1:8" x14ac:dyDescent="0.2">
      <c r="A114" s="1">
        <v>3.4737909999999999</v>
      </c>
      <c r="B114" s="1">
        <v>0.76975349999999998</v>
      </c>
      <c r="D114" s="1">
        <f t="shared" si="6"/>
        <v>0.30830000000000002</v>
      </c>
      <c r="E114" s="1">
        <f t="shared" si="7"/>
        <v>0.12710120000000003</v>
      </c>
      <c r="G114" s="1">
        <f t="shared" si="8"/>
        <v>0.9808818710250099</v>
      </c>
      <c r="H114" s="1">
        <f t="shared" si="9"/>
        <v>0.40438294799067148</v>
      </c>
    </row>
    <row r="115" spans="1:8" x14ac:dyDescent="0.2">
      <c r="A115" s="1">
        <v>3.4726050000000002</v>
      </c>
      <c r="B115" s="1">
        <v>0.76599229999999996</v>
      </c>
      <c r="D115" s="1">
        <f t="shared" si="6"/>
        <v>0.30711400000000033</v>
      </c>
      <c r="E115" s="1">
        <f t="shared" si="7"/>
        <v>0.12334000000000001</v>
      </c>
      <c r="G115" s="1">
        <f t="shared" si="8"/>
        <v>0.97710851423280964</v>
      </c>
      <c r="H115" s="1">
        <f t="shared" si="9"/>
        <v>0.39241638005911361</v>
      </c>
    </row>
    <row r="116" spans="1:8" x14ac:dyDescent="0.2">
      <c r="A116" s="1">
        <v>3.47132</v>
      </c>
      <c r="B116" s="1">
        <v>0.76229860000000005</v>
      </c>
      <c r="D116" s="1">
        <f t="shared" si="6"/>
        <v>0.30582900000000013</v>
      </c>
      <c r="E116" s="1">
        <f t="shared" si="7"/>
        <v>0.11964630000000009</v>
      </c>
      <c r="G116" s="1">
        <f t="shared" si="8"/>
        <v>0.97302018077751495</v>
      </c>
      <c r="H116" s="1">
        <f t="shared" si="9"/>
        <v>0.38066456894330108</v>
      </c>
    </row>
    <row r="117" spans="1:8" x14ac:dyDescent="0.2">
      <c r="A117" s="1">
        <v>3.4699469999999999</v>
      </c>
      <c r="B117" s="1">
        <v>0.75867600000000002</v>
      </c>
      <c r="D117" s="1">
        <f t="shared" si="6"/>
        <v>0.30445600000000006</v>
      </c>
      <c r="E117" s="1">
        <f t="shared" si="7"/>
        <v>0.11602370000000006</v>
      </c>
      <c r="G117" s="1">
        <f t="shared" si="8"/>
        <v>0.96865186806613834</v>
      </c>
      <c r="H117" s="1">
        <f t="shared" si="9"/>
        <v>0.36913896834007298</v>
      </c>
    </row>
    <row r="118" spans="1:8" x14ac:dyDescent="0.2">
      <c r="A118" s="1">
        <v>3.4684979999999999</v>
      </c>
      <c r="B118" s="1">
        <v>0.75512780000000002</v>
      </c>
      <c r="D118" s="1">
        <f t="shared" si="6"/>
        <v>0.30300700000000003</v>
      </c>
      <c r="E118" s="1">
        <f t="shared" si="7"/>
        <v>0.11247550000000006</v>
      </c>
      <c r="G118" s="1">
        <f t="shared" si="8"/>
        <v>0.96404175508814527</v>
      </c>
      <c r="H118" s="1">
        <f t="shared" si="9"/>
        <v>0.3578500774715328</v>
      </c>
    </row>
    <row r="119" spans="1:8" x14ac:dyDescent="0.2">
      <c r="A119" s="1">
        <v>3.46698</v>
      </c>
      <c r="B119" s="1">
        <v>0.75165720000000003</v>
      </c>
      <c r="D119" s="1">
        <f t="shared" si="6"/>
        <v>0.30148900000000012</v>
      </c>
      <c r="E119" s="1">
        <f t="shared" si="7"/>
        <v>0.10900490000000007</v>
      </c>
      <c r="G119" s="1">
        <f t="shared" si="8"/>
        <v>0.95921211292072439</v>
      </c>
      <c r="H119" s="1">
        <f t="shared" si="9"/>
        <v>0.34680807740153802</v>
      </c>
    </row>
    <row r="120" spans="1:8" x14ac:dyDescent="0.2">
      <c r="A120" s="1">
        <v>3.4654029999999998</v>
      </c>
      <c r="B120" s="1">
        <v>0.74826720000000002</v>
      </c>
      <c r="D120" s="1">
        <f t="shared" si="6"/>
        <v>0.29991199999999996</v>
      </c>
      <c r="E120" s="1">
        <f t="shared" si="7"/>
        <v>0.10561490000000007</v>
      </c>
      <c r="G120" s="1">
        <f t="shared" si="8"/>
        <v>0.95419475738842918</v>
      </c>
      <c r="H120" s="1">
        <f t="shared" si="9"/>
        <v>0.33602251287745499</v>
      </c>
    </row>
    <row r="121" spans="1:8" x14ac:dyDescent="0.2">
      <c r="A121" s="1">
        <v>3.4637730000000002</v>
      </c>
      <c r="B121" s="1">
        <v>0.74496050000000003</v>
      </c>
      <c r="D121" s="1">
        <f t="shared" si="6"/>
        <v>0.29828200000000038</v>
      </c>
      <c r="E121" s="1">
        <f t="shared" si="7"/>
        <v>0.10230820000000007</v>
      </c>
      <c r="G121" s="1">
        <f t="shared" si="8"/>
        <v>0.94900877798599537</v>
      </c>
      <c r="H121" s="1">
        <f t="shared" si="9"/>
        <v>0.32550197417191368</v>
      </c>
    </row>
    <row r="122" spans="1:8" x14ac:dyDescent="0.2">
      <c r="A122" s="1">
        <v>3.4620980000000001</v>
      </c>
      <c r="B122" s="1">
        <v>0.74173999999999995</v>
      </c>
      <c r="D122" s="1">
        <f t="shared" si="6"/>
        <v>0.29660700000000029</v>
      </c>
      <c r="E122" s="1">
        <f t="shared" si="7"/>
        <v>9.9087700000000001E-2</v>
      </c>
      <c r="G122" s="1">
        <f t="shared" si="8"/>
        <v>0.94367962737306321</v>
      </c>
      <c r="H122" s="1">
        <f t="shared" si="9"/>
        <v>0.31525568787403463</v>
      </c>
    </row>
    <row r="123" spans="1:8" x14ac:dyDescent="0.2">
      <c r="A123" s="1">
        <v>3.4603839999999999</v>
      </c>
      <c r="B123" s="1">
        <v>0.73860879999999995</v>
      </c>
      <c r="D123" s="1">
        <f t="shared" si="6"/>
        <v>0.29489300000000007</v>
      </c>
      <c r="E123" s="1">
        <f t="shared" si="7"/>
        <v>9.59565E-2</v>
      </c>
      <c r="G123" s="1">
        <f t="shared" si="8"/>
        <v>0.93822639504436689</v>
      </c>
      <c r="H123" s="1">
        <f t="shared" si="9"/>
        <v>0.30529351688943029</v>
      </c>
    </row>
    <row r="124" spans="1:8" x14ac:dyDescent="0.2">
      <c r="A124" s="1">
        <v>3.4586359999999998</v>
      </c>
      <c r="B124" s="1">
        <v>0.73556980000000005</v>
      </c>
      <c r="D124" s="1">
        <f t="shared" si="6"/>
        <v>0.29314499999999999</v>
      </c>
      <c r="E124" s="1">
        <f t="shared" si="7"/>
        <v>9.2917500000000097E-2</v>
      </c>
      <c r="G124" s="1">
        <f t="shared" si="8"/>
        <v>0.93266498891218463</v>
      </c>
      <c r="H124" s="1">
        <f t="shared" si="9"/>
        <v>0.29562468780722173</v>
      </c>
    </row>
    <row r="125" spans="1:8" x14ac:dyDescent="0.2">
      <c r="A125" s="1">
        <v>3.4568599999999998</v>
      </c>
      <c r="B125" s="1">
        <v>0.732626</v>
      </c>
      <c r="D125" s="1">
        <f t="shared" si="6"/>
        <v>0.29136899999999999</v>
      </c>
      <c r="E125" s="1">
        <f t="shared" si="7"/>
        <v>8.9973700000000045E-2</v>
      </c>
      <c r="G125" s="1">
        <f t="shared" si="8"/>
        <v>0.92701449847124906</v>
      </c>
      <c r="H125" s="1">
        <f t="shared" si="9"/>
        <v>0.28625874537477447</v>
      </c>
    </row>
    <row r="126" spans="1:8" x14ac:dyDescent="0.2">
      <c r="A126" s="1">
        <v>3.4550589999999999</v>
      </c>
      <c r="B126" s="1">
        <v>0.7297806</v>
      </c>
      <c r="D126" s="1">
        <f t="shared" si="6"/>
        <v>0.28956800000000005</v>
      </c>
      <c r="E126" s="1">
        <f t="shared" si="7"/>
        <v>8.7128300000000047E-2</v>
      </c>
      <c r="G126" s="1">
        <f t="shared" si="8"/>
        <v>0.92128446846892675</v>
      </c>
      <c r="H126" s="1">
        <f t="shared" si="9"/>
        <v>0.27720587065594687</v>
      </c>
    </row>
    <row r="127" spans="1:8" x14ac:dyDescent="0.2">
      <c r="A127" s="1">
        <v>3.4532379999999998</v>
      </c>
      <c r="B127" s="1">
        <v>0.72703739999999994</v>
      </c>
      <c r="D127" s="1">
        <f t="shared" si="6"/>
        <v>0.28774699999999998</v>
      </c>
      <c r="E127" s="1">
        <f t="shared" si="7"/>
        <v>8.4385099999999991E-2</v>
      </c>
      <c r="G127" s="1">
        <f t="shared" si="8"/>
        <v>0.91549080681749428</v>
      </c>
      <c r="H127" s="1">
        <f t="shared" si="9"/>
        <v>0.26847815366406924</v>
      </c>
    </row>
    <row r="128" spans="1:8" x14ac:dyDescent="0.2">
      <c r="A128" s="1">
        <v>3.451397</v>
      </c>
      <c r="B128" s="1">
        <v>0.72440119999999997</v>
      </c>
      <c r="D128" s="1">
        <f t="shared" si="6"/>
        <v>0.28590600000000022</v>
      </c>
      <c r="E128" s="1">
        <f t="shared" si="7"/>
        <v>8.1748900000000013E-2</v>
      </c>
      <c r="G128" s="1">
        <f t="shared" si="8"/>
        <v>0.90963351351695321</v>
      </c>
      <c r="H128" s="1">
        <f t="shared" si="9"/>
        <v>0.26009086599492848</v>
      </c>
    </row>
    <row r="129" spans="1:8" x14ac:dyDescent="0.2">
      <c r="A129" s="1">
        <v>3.4495390000000001</v>
      </c>
      <c r="B129" s="1">
        <v>0.72187809999999997</v>
      </c>
      <c r="D129" s="1">
        <f t="shared" si="6"/>
        <v>0.2840480000000003</v>
      </c>
      <c r="E129" s="1">
        <f t="shared" si="7"/>
        <v>7.9225800000000013E-2</v>
      </c>
      <c r="G129" s="1">
        <f t="shared" si="8"/>
        <v>0.90372213331466855</v>
      </c>
      <c r="H129" s="1">
        <f t="shared" si="9"/>
        <v>0.25206341530150256</v>
      </c>
    </row>
    <row r="130" spans="1:8" x14ac:dyDescent="0.2">
      <c r="A130" s="1">
        <v>3.4476610000000001</v>
      </c>
      <c r="B130" s="1">
        <v>0.71947499999999998</v>
      </c>
      <c r="D130" s="1">
        <f t="shared" si="6"/>
        <v>0.28217000000000025</v>
      </c>
      <c r="E130" s="1">
        <f t="shared" si="7"/>
        <v>7.6822700000000022E-2</v>
      </c>
      <c r="G130" s="1">
        <f t="shared" si="8"/>
        <v>0.89774712146327373</v>
      </c>
      <c r="H130" s="1">
        <f t="shared" si="9"/>
        <v>0.24441775450273451</v>
      </c>
    </row>
    <row r="131" spans="1:8" x14ac:dyDescent="0.2">
      <c r="A131" s="1">
        <v>3.4457650000000002</v>
      </c>
      <c r="B131" s="1">
        <v>0.71720010000000001</v>
      </c>
      <c r="D131" s="1">
        <f t="shared" si="6"/>
        <v>0.28027400000000036</v>
      </c>
      <c r="E131" s="1">
        <f t="shared" si="7"/>
        <v>7.4547800000000053E-2</v>
      </c>
      <c r="G131" s="1">
        <f t="shared" si="8"/>
        <v>0.89171484112768074</v>
      </c>
      <c r="H131" s="1">
        <f t="shared" si="9"/>
        <v>0.23717997257475928</v>
      </c>
    </row>
    <row r="132" spans="1:8" x14ac:dyDescent="0.2">
      <c r="A132" s="1">
        <v>3.443848</v>
      </c>
      <c r="B132" s="1">
        <v>0.71506239999999999</v>
      </c>
      <c r="D132" s="1">
        <f t="shared" si="6"/>
        <v>0.27835700000000019</v>
      </c>
      <c r="E132" s="1">
        <f t="shared" si="7"/>
        <v>7.2410100000000033E-2</v>
      </c>
      <c r="G132" s="1">
        <f t="shared" si="8"/>
        <v>0.88561574756052175</v>
      </c>
      <c r="H132" s="1">
        <f t="shared" si="9"/>
        <v>0.23037870375967598</v>
      </c>
    </row>
    <row r="133" spans="1:8" x14ac:dyDescent="0.2">
      <c r="A133" s="1">
        <v>3.4419110000000002</v>
      </c>
      <c r="B133" s="1">
        <v>0.71307180000000003</v>
      </c>
      <c r="D133" s="1">
        <f t="shared" si="6"/>
        <v>0.27642000000000033</v>
      </c>
      <c r="E133" s="1">
        <f t="shared" si="7"/>
        <v>7.0419500000000079E-2</v>
      </c>
      <c r="G133" s="1">
        <f t="shared" si="8"/>
        <v>0.87945302234425415</v>
      </c>
      <c r="H133" s="1">
        <f t="shared" si="9"/>
        <v>0.22404544572379423</v>
      </c>
    </row>
    <row r="134" spans="1:8" x14ac:dyDescent="0.2">
      <c r="A134" s="1">
        <v>3.4399540000000002</v>
      </c>
      <c r="B134" s="1">
        <v>0.71123890000000001</v>
      </c>
      <c r="D134" s="1">
        <f t="shared" si="6"/>
        <v>0.27446300000000035</v>
      </c>
      <c r="E134" s="1">
        <f t="shared" si="7"/>
        <v>6.8586600000000053E-2</v>
      </c>
      <c r="G134" s="1">
        <f t="shared" si="8"/>
        <v>0.87322666547887651</v>
      </c>
      <c r="H134" s="1">
        <f t="shared" si="9"/>
        <v>0.21821392324114172</v>
      </c>
    </row>
    <row r="135" spans="1:8" x14ac:dyDescent="0.2">
      <c r="A135" s="1">
        <v>3.4379740000000001</v>
      </c>
      <c r="B135" s="1">
        <v>0.70958049999999995</v>
      </c>
      <c r="D135" s="1">
        <f t="shared" si="6"/>
        <v>0.27248300000000025</v>
      </c>
      <c r="E135" s="1">
        <f t="shared" si="7"/>
        <v>6.6928199999999993E-2</v>
      </c>
      <c r="G135" s="1">
        <f t="shared" si="8"/>
        <v>0.86692713221702244</v>
      </c>
      <c r="H135" s="1">
        <f t="shared" si="9"/>
        <v>0.21293758689697068</v>
      </c>
    </row>
    <row r="136" spans="1:8" x14ac:dyDescent="0.2">
      <c r="A136" s="1">
        <v>3.4359679999999999</v>
      </c>
      <c r="B136" s="1">
        <v>0.70812260000000005</v>
      </c>
      <c r="D136" s="1">
        <f t="shared" si="6"/>
        <v>0.27047700000000008</v>
      </c>
      <c r="E136" s="1">
        <f t="shared" si="7"/>
        <v>6.5470300000000092E-2</v>
      </c>
      <c r="G136" s="1">
        <f t="shared" si="8"/>
        <v>0.8605448778113256</v>
      </c>
      <c r="H136" s="1">
        <f t="shared" si="9"/>
        <v>0.2082991578351242</v>
      </c>
    </row>
    <row r="137" spans="1:8" x14ac:dyDescent="0.2">
      <c r="A137" s="1">
        <v>3.4339369999999998</v>
      </c>
      <c r="B137" s="1">
        <v>0.70689049999999998</v>
      </c>
      <c r="D137" s="1">
        <f t="shared" si="6"/>
        <v>0.26844599999999996</v>
      </c>
      <c r="E137" s="1">
        <f t="shared" si="7"/>
        <v>6.4238200000000023E-2</v>
      </c>
      <c r="G137" s="1">
        <f t="shared" si="8"/>
        <v>0.85408308384424181</v>
      </c>
      <c r="H137" s="1">
        <f t="shared" si="9"/>
        <v>0.20437913009172498</v>
      </c>
    </row>
    <row r="138" spans="1:8" x14ac:dyDescent="0.2">
      <c r="A138" s="1">
        <v>3.4319229999999998</v>
      </c>
      <c r="B138" s="1">
        <v>0.70584480000000005</v>
      </c>
      <c r="D138" s="1">
        <f t="shared" si="6"/>
        <v>0.266432</v>
      </c>
      <c r="E138" s="1">
        <f t="shared" si="7"/>
        <v>6.3192500000000096E-2</v>
      </c>
      <c r="G138" s="1">
        <f t="shared" si="8"/>
        <v>0.84767537677890181</v>
      </c>
      <c r="H138" s="1">
        <f t="shared" si="9"/>
        <v>0.20105214931802801</v>
      </c>
    </row>
    <row r="139" spans="1:8" x14ac:dyDescent="0.2">
      <c r="A139" s="1">
        <v>3.4300139999999999</v>
      </c>
      <c r="B139" s="1">
        <v>0.70483410000000002</v>
      </c>
      <c r="D139" s="1">
        <f t="shared" si="6"/>
        <v>0.26452300000000006</v>
      </c>
      <c r="E139" s="1">
        <f t="shared" si="7"/>
        <v>6.2181800000000065E-2</v>
      </c>
      <c r="G139" s="1">
        <f t="shared" si="8"/>
        <v>0.84160173587138742</v>
      </c>
      <c r="H139" s="1">
        <f t="shared" si="9"/>
        <v>0.19783652393027254</v>
      </c>
    </row>
    <row r="140" spans="1:8" x14ac:dyDescent="0.2">
      <c r="A140" s="1">
        <v>3.4282780000000002</v>
      </c>
      <c r="B140" s="1">
        <v>0.70374519999999996</v>
      </c>
      <c r="D140" s="1">
        <f t="shared" si="6"/>
        <v>0.26278700000000033</v>
      </c>
      <c r="E140" s="1">
        <f t="shared" si="7"/>
        <v>6.1092900000000006E-2</v>
      </c>
      <c r="G140" s="1">
        <f t="shared" si="8"/>
        <v>0.83607850872867207</v>
      </c>
      <c r="H140" s="1">
        <f t="shared" si="9"/>
        <v>0.19437209879449832</v>
      </c>
    </row>
    <row r="141" spans="1:8" x14ac:dyDescent="0.2">
      <c r="A141" s="1">
        <v>3.426682</v>
      </c>
      <c r="B141" s="1">
        <v>0.70264990000000005</v>
      </c>
      <c r="D141" s="1">
        <f t="shared" si="6"/>
        <v>0.26119100000000017</v>
      </c>
      <c r="E141" s="1">
        <f t="shared" si="7"/>
        <v>5.9997600000000095E-2</v>
      </c>
      <c r="G141" s="1">
        <f t="shared" si="8"/>
        <v>0.83100070312972274</v>
      </c>
      <c r="H141" s="1">
        <f t="shared" si="9"/>
        <v>0.19088731153100949</v>
      </c>
    </row>
    <row r="142" spans="1:8" x14ac:dyDescent="0.2">
      <c r="A142" s="1">
        <v>3.4251839999999998</v>
      </c>
      <c r="B142" s="1">
        <v>0.70161649999999998</v>
      </c>
      <c r="D142" s="1">
        <f t="shared" si="6"/>
        <v>0.25969299999999995</v>
      </c>
      <c r="E142" s="1">
        <f t="shared" si="7"/>
        <v>5.8964200000000022E-2</v>
      </c>
      <c r="G142" s="1">
        <f t="shared" si="8"/>
        <v>0.82623469261141047</v>
      </c>
      <c r="H142" s="1">
        <f t="shared" si="9"/>
        <v>0.18759946422151447</v>
      </c>
    </row>
    <row r="143" spans="1:8" x14ac:dyDescent="0.2">
      <c r="A143" s="1">
        <v>3.4238050000000002</v>
      </c>
      <c r="B143" s="1">
        <v>0.70061629999999997</v>
      </c>
      <c r="D143" s="1">
        <f t="shared" si="6"/>
        <v>0.25831400000000038</v>
      </c>
      <c r="E143" s="1">
        <f t="shared" si="7"/>
        <v>5.7964000000000016E-2</v>
      </c>
      <c r="G143" s="1">
        <f t="shared" si="8"/>
        <v>0.82184729040530258</v>
      </c>
      <c r="H143" s="1">
        <f t="shared" si="9"/>
        <v>0.18441724544954163</v>
      </c>
    </row>
    <row r="144" spans="1:8" x14ac:dyDescent="0.2">
      <c r="A144" s="1">
        <v>3.4225690000000002</v>
      </c>
      <c r="B144" s="1">
        <v>0.69962690000000005</v>
      </c>
      <c r="D144" s="1">
        <f t="shared" si="6"/>
        <v>0.25707800000000036</v>
      </c>
      <c r="E144" s="1">
        <f t="shared" si="7"/>
        <v>5.6974600000000097E-2</v>
      </c>
      <c r="G144" s="1">
        <f t="shared" si="8"/>
        <v>0.81791485449032708</v>
      </c>
      <c r="H144" s="1">
        <f t="shared" si="9"/>
        <v>0.18126938776808829</v>
      </c>
    </row>
    <row r="145" spans="1:8" x14ac:dyDescent="0.2">
      <c r="A145" s="1">
        <v>3.4214910000000001</v>
      </c>
      <c r="B145" s="1">
        <v>0.69863730000000002</v>
      </c>
      <c r="D145" s="1">
        <f t="shared" si="6"/>
        <v>0.25600000000000023</v>
      </c>
      <c r="E145" s="1">
        <f t="shared" si="7"/>
        <v>5.5985000000000062E-2</v>
      </c>
      <c r="G145" s="1">
        <f t="shared" si="8"/>
        <v>0.81448510860331735</v>
      </c>
      <c r="H145" s="1">
        <f t="shared" si="9"/>
        <v>0.17812089377014351</v>
      </c>
    </row>
    <row r="146" spans="1:8" x14ac:dyDescent="0.2">
      <c r="A146" s="1">
        <v>3.4205920000000001</v>
      </c>
      <c r="B146" s="1">
        <v>0.69764289999999995</v>
      </c>
      <c r="D146" s="1">
        <f t="shared" si="6"/>
        <v>0.25510100000000024</v>
      </c>
      <c r="E146" s="1">
        <f t="shared" si="7"/>
        <v>5.4990600000000001E-2</v>
      </c>
      <c r="G146" s="1">
        <f t="shared" si="8"/>
        <v>0.81162486597583938</v>
      </c>
      <c r="H146" s="1">
        <f t="shared" si="9"/>
        <v>0.17495712817641229</v>
      </c>
    </row>
    <row r="147" spans="1:8" x14ac:dyDescent="0.2">
      <c r="A147" s="1">
        <v>3.4198750000000002</v>
      </c>
      <c r="B147" s="1">
        <v>0.69665960000000005</v>
      </c>
      <c r="D147" s="1">
        <f t="shared" si="6"/>
        <v>0.25438400000000039</v>
      </c>
      <c r="E147" s="1">
        <f t="shared" si="7"/>
        <v>5.4007300000000091E-2</v>
      </c>
      <c r="G147" s="1">
        <f t="shared" si="8"/>
        <v>0.80934367135525942</v>
      </c>
      <c r="H147" s="1">
        <f t="shared" si="9"/>
        <v>0.17182867814793742</v>
      </c>
    </row>
    <row r="148" spans="1:8" x14ac:dyDescent="0.2">
      <c r="A148" s="1">
        <v>3.419327</v>
      </c>
      <c r="B148" s="1">
        <v>0.69571439999999996</v>
      </c>
      <c r="D148" s="1">
        <f t="shared" si="6"/>
        <v>0.25383600000000017</v>
      </c>
      <c r="E148" s="1">
        <f t="shared" si="7"/>
        <v>5.3062100000000001E-2</v>
      </c>
      <c r="G148" s="1">
        <f t="shared" si="8"/>
        <v>0.80760016416965485</v>
      </c>
      <c r="H148" s="1">
        <f t="shared" si="9"/>
        <v>0.16882144641101582</v>
      </c>
    </row>
    <row r="149" spans="1:8" x14ac:dyDescent="0.2">
      <c r="A149" s="1">
        <v>3.4189289999999999</v>
      </c>
      <c r="B149" s="1">
        <v>0.69483360000000005</v>
      </c>
      <c r="D149" s="1">
        <f t="shared" si="6"/>
        <v>0.25343800000000005</v>
      </c>
      <c r="E149" s="1">
        <f t="shared" si="7"/>
        <v>5.2181300000000097E-2</v>
      </c>
      <c r="G149" s="1">
        <f t="shared" si="8"/>
        <v>0.80633389435237268</v>
      </c>
      <c r="H149" s="1">
        <f t="shared" si="9"/>
        <v>0.16601910858422783</v>
      </c>
    </row>
    <row r="150" spans="1:8" x14ac:dyDescent="0.2">
      <c r="A150" s="1">
        <v>3.4186550000000002</v>
      </c>
      <c r="B150" s="1">
        <v>0.69403959999999998</v>
      </c>
      <c r="D150" s="1">
        <f t="shared" si="6"/>
        <v>0.25316400000000039</v>
      </c>
      <c r="E150" s="1">
        <f t="shared" si="7"/>
        <v>5.1387300000000025E-2</v>
      </c>
      <c r="G150" s="1">
        <f t="shared" si="8"/>
        <v>0.80546214075957179</v>
      </c>
      <c r="H150" s="1">
        <f t="shared" si="9"/>
        <v>0.16349293211457513</v>
      </c>
    </row>
    <row r="151" spans="1:8" x14ac:dyDescent="0.2">
      <c r="A151" s="1">
        <v>3.418482</v>
      </c>
      <c r="B151" s="1">
        <v>0.69334879999999999</v>
      </c>
      <c r="D151" s="1">
        <f t="shared" si="6"/>
        <v>0.25299100000000019</v>
      </c>
      <c r="E151" s="1">
        <f t="shared" si="7"/>
        <v>5.0696500000000033E-2</v>
      </c>
      <c r="G151" s="1">
        <f t="shared" si="8"/>
        <v>0.80491172699477287</v>
      </c>
      <c r="H151" s="1">
        <f t="shared" si="9"/>
        <v>0.16129509495432839</v>
      </c>
    </row>
    <row r="152" spans="1:8" x14ac:dyDescent="0.2">
      <c r="A152" s="1">
        <v>3.4183849999999998</v>
      </c>
      <c r="B152" s="1">
        <v>0.69277339999999998</v>
      </c>
      <c r="D152" s="1">
        <f t="shared" si="6"/>
        <v>0.25289399999999995</v>
      </c>
      <c r="E152" s="1">
        <f t="shared" si="7"/>
        <v>5.012110000000003E-2</v>
      </c>
      <c r="G152" s="1">
        <f t="shared" si="8"/>
        <v>0.80460311349659031</v>
      </c>
      <c r="H152" s="1">
        <f t="shared" si="9"/>
        <v>0.15946441240944423</v>
      </c>
    </row>
    <row r="153" spans="1:8" x14ac:dyDescent="0.2">
      <c r="A153" s="1">
        <v>3.4183379999999999</v>
      </c>
      <c r="B153" s="1">
        <v>0.69232119999999997</v>
      </c>
      <c r="D153" s="1">
        <f t="shared" si="6"/>
        <v>0.25284700000000004</v>
      </c>
      <c r="E153" s="1">
        <f t="shared" si="7"/>
        <v>4.9668900000000016E-2</v>
      </c>
      <c r="G153" s="1">
        <f t="shared" si="8"/>
        <v>0.80445357912118298</v>
      </c>
      <c r="H153" s="1">
        <f t="shared" si="9"/>
        <v>0.15802570082307535</v>
      </c>
    </row>
    <row r="154" spans="1:8" x14ac:dyDescent="0.2">
      <c r="A154" s="1">
        <v>3.41832</v>
      </c>
      <c r="B154" s="1">
        <v>0.69199659999999996</v>
      </c>
      <c r="D154" s="1">
        <f t="shared" si="6"/>
        <v>0.25282900000000019</v>
      </c>
      <c r="E154" s="1">
        <f t="shared" si="7"/>
        <v>4.9344300000000008E-2</v>
      </c>
      <c r="G154" s="1">
        <f t="shared" si="8"/>
        <v>0.8043963106369848</v>
      </c>
      <c r="H154" s="1">
        <f t="shared" si="9"/>
        <v>0.15699295915802597</v>
      </c>
    </row>
    <row r="155" spans="1:8" x14ac:dyDescent="0.2">
      <c r="A155" s="1">
        <v>3.4183159999999999</v>
      </c>
      <c r="B155" s="1">
        <v>0.69180140000000001</v>
      </c>
      <c r="D155" s="1">
        <f t="shared" si="6"/>
        <v>0.25282500000000008</v>
      </c>
      <c r="E155" s="1">
        <f t="shared" si="7"/>
        <v>4.9149100000000057E-2</v>
      </c>
      <c r="G155" s="1">
        <f t="shared" si="8"/>
        <v>0.8043835843071625</v>
      </c>
      <c r="H155" s="1">
        <f t="shared" si="9"/>
        <v>0.15637191426271607</v>
      </c>
    </row>
    <row r="156" spans="1:8" x14ac:dyDescent="0.2">
      <c r="A156" s="1">
        <v>3.4183159999999999</v>
      </c>
      <c r="B156" s="1">
        <v>0.69173629999999997</v>
      </c>
      <c r="D156" s="1">
        <f t="shared" si="6"/>
        <v>0.25282500000000008</v>
      </c>
      <c r="E156" s="1">
        <f t="shared" si="7"/>
        <v>4.9084000000000017E-2</v>
      </c>
      <c r="G156" s="1">
        <f t="shared" si="8"/>
        <v>0.8043835843071625</v>
      </c>
      <c r="H156" s="1">
        <f t="shared" si="9"/>
        <v>0.1561647932448641</v>
      </c>
    </row>
    <row r="157" spans="1:8" x14ac:dyDescent="0.2">
      <c r="A157" s="1">
        <v>3.4183159999999999</v>
      </c>
      <c r="B157" s="1">
        <v>0.69165699999999997</v>
      </c>
      <c r="D157" s="1">
        <f t="shared" si="6"/>
        <v>0.25282500000000008</v>
      </c>
      <c r="E157" s="1">
        <f t="shared" si="7"/>
        <v>4.9004700000000012E-2</v>
      </c>
      <c r="G157" s="1">
        <f t="shared" si="8"/>
        <v>0.8043835843071625</v>
      </c>
      <c r="H157" s="1">
        <f t="shared" si="9"/>
        <v>0.15591249375614438</v>
      </c>
    </row>
    <row r="158" spans="1:8" x14ac:dyDescent="0.2">
      <c r="A158" s="1">
        <v>3.4183219999999999</v>
      </c>
      <c r="B158" s="1">
        <v>0.69141940000000002</v>
      </c>
      <c r="D158" s="1">
        <f t="shared" si="6"/>
        <v>0.25283100000000003</v>
      </c>
      <c r="E158" s="1">
        <f t="shared" si="7"/>
        <v>4.8767100000000063E-2</v>
      </c>
      <c r="G158" s="1">
        <f t="shared" si="8"/>
        <v>0.80440267380189523</v>
      </c>
      <c r="H158" s="1">
        <f t="shared" si="9"/>
        <v>0.1551565497647221</v>
      </c>
    </row>
    <row r="159" spans="1:8" x14ac:dyDescent="0.2">
      <c r="A159" s="1">
        <v>3.4183479999999999</v>
      </c>
      <c r="B159" s="1">
        <v>0.69102430000000004</v>
      </c>
      <c r="D159" s="1">
        <f t="shared" si="6"/>
        <v>0.25285700000000011</v>
      </c>
      <c r="E159" s="1">
        <f t="shared" si="7"/>
        <v>4.8372000000000082E-2</v>
      </c>
      <c r="G159" s="1">
        <f t="shared" si="8"/>
        <v>0.80448539494573801</v>
      </c>
      <c r="H159" s="1">
        <f t="shared" si="9"/>
        <v>0.15389950653656134</v>
      </c>
    </row>
    <row r="160" spans="1:8" x14ac:dyDescent="0.2">
      <c r="A160" s="1">
        <v>3.4184190000000001</v>
      </c>
      <c r="B160" s="1">
        <v>0.69047519999999996</v>
      </c>
      <c r="D160" s="1">
        <f t="shared" si="6"/>
        <v>0.25292800000000026</v>
      </c>
      <c r="E160" s="1">
        <f t="shared" si="7"/>
        <v>4.7822900000000002E-2</v>
      </c>
      <c r="G160" s="1">
        <f t="shared" si="8"/>
        <v>0.80471128730007768</v>
      </c>
      <c r="H160" s="1">
        <f t="shared" si="9"/>
        <v>0.15215249961025606</v>
      </c>
    </row>
    <row r="161" spans="1:8" x14ac:dyDescent="0.2">
      <c r="A161" s="1">
        <v>3.4185690000000002</v>
      </c>
      <c r="B161" s="1">
        <v>0.68978059999999997</v>
      </c>
      <c r="D161" s="1">
        <f t="shared" si="6"/>
        <v>0.25307800000000036</v>
      </c>
      <c r="E161" s="1">
        <f t="shared" si="7"/>
        <v>4.7128300000000012E-2</v>
      </c>
      <c r="G161" s="1">
        <f t="shared" si="8"/>
        <v>0.8051885246684003</v>
      </c>
      <c r="H161" s="1">
        <f t="shared" si="9"/>
        <v>0.14994257243667852</v>
      </c>
    </row>
    <row r="162" spans="1:8" x14ac:dyDescent="0.2">
      <c r="A162" s="1">
        <v>3.4188459999999998</v>
      </c>
      <c r="B162" s="1">
        <v>0.68895899999999999</v>
      </c>
      <c r="D162" s="1">
        <f t="shared" si="6"/>
        <v>0.253355</v>
      </c>
      <c r="E162" s="1">
        <f t="shared" si="7"/>
        <v>4.6306700000000034E-2</v>
      </c>
      <c r="G162" s="1">
        <f t="shared" si="8"/>
        <v>0.80606982300856755</v>
      </c>
      <c r="H162" s="1">
        <f t="shared" si="9"/>
        <v>0.14732858429125481</v>
      </c>
    </row>
    <row r="163" spans="1:8" x14ac:dyDescent="0.2">
      <c r="A163" s="1">
        <v>3.4193009999999999</v>
      </c>
      <c r="B163" s="1">
        <v>0.68804379999999998</v>
      </c>
      <c r="D163" s="1">
        <f t="shared" si="6"/>
        <v>0.25381000000000009</v>
      </c>
      <c r="E163" s="1">
        <f t="shared" si="7"/>
        <v>4.5391500000000029E-2</v>
      </c>
      <c r="G163" s="1">
        <f t="shared" si="8"/>
        <v>0.80751744302581208</v>
      </c>
      <c r="H163" s="1">
        <f t="shared" si="9"/>
        <v>0.14441680002799795</v>
      </c>
    </row>
    <row r="164" spans="1:8" x14ac:dyDescent="0.2">
      <c r="A164" s="1">
        <v>3.419978</v>
      </c>
      <c r="B164" s="1">
        <v>0.6870811</v>
      </c>
      <c r="D164" s="1">
        <f t="shared" si="6"/>
        <v>0.25448700000000013</v>
      </c>
      <c r="E164" s="1">
        <f t="shared" si="7"/>
        <v>4.4428800000000046E-2</v>
      </c>
      <c r="G164" s="1">
        <f t="shared" si="8"/>
        <v>0.80967137434817327</v>
      </c>
      <c r="H164" s="1">
        <f t="shared" si="9"/>
        <v>0.14135389059810574</v>
      </c>
    </row>
    <row r="165" spans="1:8" x14ac:dyDescent="0.2">
      <c r="A165" s="1">
        <v>3.4208919999999998</v>
      </c>
      <c r="B165" s="1">
        <v>0.68611540000000004</v>
      </c>
      <c r="D165" s="1">
        <f t="shared" si="6"/>
        <v>0.25540099999999999</v>
      </c>
      <c r="E165" s="1">
        <f t="shared" si="7"/>
        <v>4.3463100000000088E-2</v>
      </c>
      <c r="G165" s="1">
        <f t="shared" si="8"/>
        <v>0.81257934071248306</v>
      </c>
      <c r="H165" s="1">
        <f t="shared" si="9"/>
        <v>0.1382814364208472</v>
      </c>
    </row>
    <row r="166" spans="1:8" x14ac:dyDescent="0.2">
      <c r="A166" s="1">
        <v>3.4220410000000001</v>
      </c>
      <c r="B166" s="1">
        <v>0.68517969999999995</v>
      </c>
      <c r="D166" s="1">
        <f t="shared" si="6"/>
        <v>0.25655000000000028</v>
      </c>
      <c r="E166" s="1">
        <f t="shared" si="7"/>
        <v>4.2527399999999993E-2</v>
      </c>
      <c r="G166" s="1">
        <f t="shared" si="8"/>
        <v>0.81623497895383246</v>
      </c>
      <c r="H166" s="1">
        <f t="shared" si="9"/>
        <v>0.13530442971725268</v>
      </c>
    </row>
    <row r="167" spans="1:8" x14ac:dyDescent="0.2">
      <c r="A167" s="1">
        <v>3.4234200000000001</v>
      </c>
      <c r="B167" s="1">
        <v>0.68430619999999998</v>
      </c>
      <c r="D167" s="1">
        <f t="shared" si="6"/>
        <v>0.2579290000000003</v>
      </c>
      <c r="E167" s="1">
        <f t="shared" si="7"/>
        <v>4.1653900000000021E-2</v>
      </c>
      <c r="G167" s="1">
        <f t="shared" si="8"/>
        <v>0.82062238115994179</v>
      </c>
      <c r="H167" s="1">
        <f t="shared" si="9"/>
        <v>0.13252531744238949</v>
      </c>
    </row>
    <row r="168" spans="1:8" x14ac:dyDescent="0.2">
      <c r="A168" s="1">
        <v>3.4250259999999999</v>
      </c>
      <c r="B168" s="1">
        <v>0.683535</v>
      </c>
      <c r="D168" s="1">
        <f t="shared" si="6"/>
        <v>0.25953500000000007</v>
      </c>
      <c r="E168" s="1">
        <f t="shared" si="7"/>
        <v>4.088270000000005E-2</v>
      </c>
      <c r="G168" s="1">
        <f t="shared" si="8"/>
        <v>0.8257320025834447</v>
      </c>
      <c r="H168" s="1">
        <f t="shared" si="9"/>
        <v>0.1300716810527221</v>
      </c>
    </row>
    <row r="169" spans="1:8" x14ac:dyDescent="0.2">
      <c r="A169" s="1">
        <v>3.426847</v>
      </c>
      <c r="B169" s="1">
        <v>0.68290260000000003</v>
      </c>
      <c r="D169" s="1">
        <f t="shared" si="6"/>
        <v>0.26135600000000014</v>
      </c>
      <c r="E169" s="1">
        <f t="shared" si="7"/>
        <v>4.0250300000000072E-2</v>
      </c>
      <c r="G169" s="1">
        <f t="shared" si="8"/>
        <v>0.83152566423487717</v>
      </c>
      <c r="H169" s="1">
        <f t="shared" si="9"/>
        <v>0.12805964830787553</v>
      </c>
    </row>
    <row r="170" spans="1:8" x14ac:dyDescent="0.2">
      <c r="A170" s="1">
        <v>3.428868</v>
      </c>
      <c r="B170" s="1">
        <v>0.68243659999999995</v>
      </c>
      <c r="D170" s="1">
        <f t="shared" si="6"/>
        <v>0.26337700000000019</v>
      </c>
      <c r="E170" s="1">
        <f t="shared" si="7"/>
        <v>3.9784299999999995E-2</v>
      </c>
      <c r="G170" s="1">
        <f t="shared" si="8"/>
        <v>0.83795564237740583</v>
      </c>
      <c r="H170" s="1">
        <f t="shared" si="9"/>
        <v>0.12657703088362082</v>
      </c>
    </row>
    <row r="171" spans="1:8" x14ac:dyDescent="0.2">
      <c r="A171" s="1">
        <v>3.4310670000000001</v>
      </c>
      <c r="B171" s="1">
        <v>0.68216310000000002</v>
      </c>
      <c r="D171" s="1">
        <f t="shared" ref="D171:D205" si="10">A171-$A$55</f>
        <v>0.26557600000000026</v>
      </c>
      <c r="E171" s="1">
        <f t="shared" si="7"/>
        <v>3.9510800000000068E-2</v>
      </c>
      <c r="G171" s="1">
        <f t="shared" si="8"/>
        <v>0.84495194219701031</v>
      </c>
      <c r="H171" s="1">
        <f t="shared" si="9"/>
        <v>0.12570686808204679</v>
      </c>
    </row>
    <row r="172" spans="1:8" x14ac:dyDescent="0.2">
      <c r="A172" s="1">
        <v>3.4334229999999999</v>
      </c>
      <c r="B172" s="1">
        <v>0.68211940000000004</v>
      </c>
      <c r="D172" s="1">
        <f t="shared" si="10"/>
        <v>0.26793200000000006</v>
      </c>
      <c r="E172" s="1">
        <f t="shared" ref="E172:E205" si="11">B172-$B$55</f>
        <v>3.9467100000000088E-2</v>
      </c>
      <c r="G172" s="1">
        <f t="shared" ref="G172:G205" si="12">D172/$H$2</f>
        <v>0.85244775046212462</v>
      </c>
      <c r="H172" s="1">
        <f t="shared" ref="H172:H205" si="13">E172/$H$2</f>
        <v>0.12556783292874232</v>
      </c>
    </row>
    <row r="173" spans="1:8" x14ac:dyDescent="0.2">
      <c r="A173" s="1">
        <v>3.4359060000000001</v>
      </c>
      <c r="B173" s="1">
        <v>0.68235369999999995</v>
      </c>
      <c r="D173" s="1">
        <f t="shared" si="10"/>
        <v>0.27041500000000029</v>
      </c>
      <c r="E173" s="1">
        <f t="shared" si="11"/>
        <v>3.9701399999999998E-2</v>
      </c>
      <c r="G173" s="1">
        <f t="shared" si="12"/>
        <v>0.86034761969908635</v>
      </c>
      <c r="H173" s="1">
        <f t="shared" si="13"/>
        <v>0.12631327769806139</v>
      </c>
    </row>
    <row r="174" spans="1:8" x14ac:dyDescent="0.2">
      <c r="A174" s="1">
        <v>3.4384779999999999</v>
      </c>
      <c r="B174" s="1">
        <v>0.68289909999999998</v>
      </c>
      <c r="D174" s="1">
        <f t="shared" si="10"/>
        <v>0.27298700000000009</v>
      </c>
      <c r="E174" s="1">
        <f t="shared" si="11"/>
        <v>4.0246800000000027E-2</v>
      </c>
      <c r="G174" s="1">
        <f t="shared" si="12"/>
        <v>0.86853064977458472</v>
      </c>
      <c r="H174" s="1">
        <f t="shared" si="13"/>
        <v>0.1280485127692812</v>
      </c>
    </row>
    <row r="175" spans="1:8" x14ac:dyDescent="0.2">
      <c r="A175" s="1">
        <v>3.4411019999999999</v>
      </c>
      <c r="B175" s="1">
        <v>0.68376349999999997</v>
      </c>
      <c r="D175" s="1">
        <f t="shared" si="10"/>
        <v>0.27561100000000005</v>
      </c>
      <c r="E175" s="1">
        <f t="shared" si="11"/>
        <v>4.1111200000000014E-2</v>
      </c>
      <c r="G175" s="1">
        <f t="shared" si="12"/>
        <v>0.87687912213776853</v>
      </c>
      <c r="H175" s="1">
        <f t="shared" si="13"/>
        <v>0.13079867264379955</v>
      </c>
    </row>
    <row r="176" spans="1:8" x14ac:dyDescent="0.2">
      <c r="A176" s="1">
        <v>3.4437470000000001</v>
      </c>
      <c r="B176" s="1">
        <v>0.68493530000000002</v>
      </c>
      <c r="D176" s="1">
        <f t="shared" si="10"/>
        <v>0.27825600000000028</v>
      </c>
      <c r="E176" s="1">
        <f t="shared" si="11"/>
        <v>4.2283000000000071E-2</v>
      </c>
      <c r="G176" s="1">
        <f t="shared" si="12"/>
        <v>0.88529440773251844</v>
      </c>
      <c r="H176" s="1">
        <f t="shared" si="13"/>
        <v>0.1345268509651332</v>
      </c>
    </row>
    <row r="177" spans="1:8" x14ac:dyDescent="0.2">
      <c r="A177" s="1">
        <v>3.4463900000000001</v>
      </c>
      <c r="B177" s="1">
        <v>0.68639790000000001</v>
      </c>
      <c r="D177" s="1">
        <f t="shared" si="10"/>
        <v>0.28089900000000023</v>
      </c>
      <c r="E177" s="1">
        <f t="shared" si="11"/>
        <v>4.3745600000000051E-2</v>
      </c>
      <c r="G177" s="1">
        <f t="shared" si="12"/>
        <v>0.89370333016235637</v>
      </c>
      <c r="H177" s="1">
        <f t="shared" si="13"/>
        <v>0.13918023346452066</v>
      </c>
    </row>
    <row r="178" spans="1:8" x14ac:dyDescent="0.2">
      <c r="A178" s="1">
        <v>3.4490069999999999</v>
      </c>
      <c r="B178" s="1">
        <v>0.68813970000000002</v>
      </c>
      <c r="D178" s="1">
        <f t="shared" si="10"/>
        <v>0.2835160000000001</v>
      </c>
      <c r="E178" s="1">
        <f t="shared" si="11"/>
        <v>4.5487400000000067E-2</v>
      </c>
      <c r="G178" s="1">
        <f t="shared" si="12"/>
        <v>0.90202953144835163</v>
      </c>
      <c r="H178" s="1">
        <f t="shared" si="13"/>
        <v>0.14472191378547875</v>
      </c>
    </row>
    <row r="179" spans="1:8" x14ac:dyDescent="0.2">
      <c r="A179" s="1">
        <v>3.4515790000000002</v>
      </c>
      <c r="B179" s="1">
        <v>0.69015130000000002</v>
      </c>
      <c r="D179" s="1">
        <f t="shared" si="10"/>
        <v>0.28608800000000034</v>
      </c>
      <c r="E179" s="1">
        <f t="shared" si="11"/>
        <v>4.7499000000000069E-2</v>
      </c>
      <c r="G179" s="1">
        <f t="shared" si="12"/>
        <v>0.91021256152385133</v>
      </c>
      <c r="H179" s="1">
        <f t="shared" si="13"/>
        <v>0.15112198505292576</v>
      </c>
    </row>
    <row r="180" spans="1:8" x14ac:dyDescent="0.2">
      <c r="A180" s="1">
        <v>3.4540850000000001</v>
      </c>
      <c r="B180" s="1">
        <v>0.69242309999999996</v>
      </c>
      <c r="D180" s="1">
        <f t="shared" si="10"/>
        <v>0.28859400000000024</v>
      </c>
      <c r="E180" s="1">
        <f t="shared" si="11"/>
        <v>4.9770800000000004E-2</v>
      </c>
      <c r="G180" s="1">
        <f t="shared" si="12"/>
        <v>0.91818560715728814</v>
      </c>
      <c r="H180" s="1">
        <f t="shared" si="13"/>
        <v>0.1583499040752889</v>
      </c>
    </row>
    <row r="181" spans="1:8" x14ac:dyDescent="0.2">
      <c r="A181" s="1">
        <v>3.4565060000000001</v>
      </c>
      <c r="B181" s="1">
        <v>0.69494549999999999</v>
      </c>
      <c r="D181" s="1">
        <f t="shared" si="10"/>
        <v>0.29101500000000025</v>
      </c>
      <c r="E181" s="1">
        <f t="shared" si="11"/>
        <v>5.229320000000004E-2</v>
      </c>
      <c r="G181" s="1">
        <f t="shared" si="12"/>
        <v>0.9258882182820094</v>
      </c>
      <c r="H181" s="1">
        <f t="shared" si="13"/>
        <v>0.16637512766099607</v>
      </c>
    </row>
    <row r="182" spans="1:8" x14ac:dyDescent="0.2">
      <c r="A182" s="1">
        <v>3.4588260000000002</v>
      </c>
      <c r="B182" s="1">
        <v>0.69770690000000002</v>
      </c>
      <c r="D182" s="1">
        <f t="shared" si="10"/>
        <v>0.29333500000000035</v>
      </c>
      <c r="E182" s="1">
        <f t="shared" si="11"/>
        <v>5.5054600000000065E-2</v>
      </c>
      <c r="G182" s="1">
        <f t="shared" si="12"/>
        <v>0.93326948957872724</v>
      </c>
      <c r="H182" s="1">
        <f t="shared" si="13"/>
        <v>0.17516074945356333</v>
      </c>
    </row>
    <row r="183" spans="1:8" x14ac:dyDescent="0.2">
      <c r="A183" s="1">
        <v>3.4610310000000002</v>
      </c>
      <c r="B183" s="1">
        <v>0.7006947</v>
      </c>
      <c r="D183" s="1">
        <f t="shared" si="10"/>
        <v>0.29554000000000036</v>
      </c>
      <c r="E183" s="1">
        <f t="shared" si="11"/>
        <v>5.804240000000005E-2</v>
      </c>
      <c r="G183" s="1">
        <f t="shared" si="12"/>
        <v>0.94028487889306445</v>
      </c>
      <c r="H183" s="1">
        <f t="shared" si="13"/>
        <v>0.18466668151405152</v>
      </c>
    </row>
    <row r="184" spans="1:8" x14ac:dyDescent="0.2">
      <c r="A184" s="1">
        <v>3.4631069999999999</v>
      </c>
      <c r="B184" s="1">
        <v>0.70389659999999998</v>
      </c>
      <c r="D184" s="1">
        <f t="shared" si="10"/>
        <v>0.2976160000000001</v>
      </c>
      <c r="E184" s="1">
        <f t="shared" si="11"/>
        <v>6.1244300000000029E-2</v>
      </c>
      <c r="G184" s="1">
        <f t="shared" si="12"/>
        <v>0.94688984407064369</v>
      </c>
      <c r="H184" s="1">
        <f t="shared" si="13"/>
        <v>0.19485379037825831</v>
      </c>
    </row>
    <row r="185" spans="1:8" x14ac:dyDescent="0.2">
      <c r="A185" s="1">
        <v>3.4650439999999998</v>
      </c>
      <c r="B185" s="1">
        <v>0.70729830000000005</v>
      </c>
      <c r="D185" s="1">
        <f t="shared" si="10"/>
        <v>0.29955299999999996</v>
      </c>
      <c r="E185" s="1">
        <f t="shared" si="11"/>
        <v>6.4646000000000092E-2</v>
      </c>
      <c r="G185" s="1">
        <f t="shared" si="12"/>
        <v>0.95305256928691129</v>
      </c>
      <c r="H185" s="1">
        <f t="shared" si="13"/>
        <v>0.20567657941707065</v>
      </c>
    </row>
    <row r="186" spans="1:8" x14ac:dyDescent="0.2">
      <c r="A186" s="1">
        <v>3.4668389999999998</v>
      </c>
      <c r="B186" s="1">
        <v>0.71088410000000002</v>
      </c>
      <c r="D186" s="1">
        <f t="shared" si="10"/>
        <v>0.30134799999999995</v>
      </c>
      <c r="E186" s="1">
        <f t="shared" si="11"/>
        <v>6.8231800000000065E-2</v>
      </c>
      <c r="G186" s="1">
        <f t="shared" si="12"/>
        <v>0.95876350979450087</v>
      </c>
      <c r="H186" s="1">
        <f t="shared" si="13"/>
        <v>0.21708509778593685</v>
      </c>
    </row>
    <row r="187" spans="1:8" x14ac:dyDescent="0.2">
      <c r="A187" s="1">
        <v>3.4684900000000001</v>
      </c>
      <c r="B187" s="1">
        <v>0.71463750000000004</v>
      </c>
      <c r="D187" s="1">
        <f t="shared" si="10"/>
        <v>0.30299900000000024</v>
      </c>
      <c r="E187" s="1">
        <f t="shared" si="11"/>
        <v>7.1985200000000082E-2</v>
      </c>
      <c r="G187" s="1">
        <f t="shared" si="12"/>
        <v>0.96401630242850211</v>
      </c>
      <c r="H187" s="1">
        <f t="shared" si="13"/>
        <v>0.22902684937434195</v>
      </c>
    </row>
    <row r="188" spans="1:8" x14ac:dyDescent="0.2">
      <c r="A188" s="1">
        <v>3.470002</v>
      </c>
      <c r="B188" s="1">
        <v>0.71854220000000002</v>
      </c>
      <c r="D188" s="1">
        <f t="shared" si="10"/>
        <v>0.3045110000000002</v>
      </c>
      <c r="E188" s="1">
        <f t="shared" si="11"/>
        <v>7.5889900000000066E-2</v>
      </c>
      <c r="G188" s="1">
        <f t="shared" si="12"/>
        <v>0.96882685510119038</v>
      </c>
      <c r="H188" s="1">
        <f t="shared" si="13"/>
        <v>0.24144997438826132</v>
      </c>
    </row>
    <row r="189" spans="1:8" x14ac:dyDescent="0.2">
      <c r="A189" s="1">
        <v>3.4713780000000001</v>
      </c>
      <c r="B189" s="1">
        <v>0.72258359999999999</v>
      </c>
      <c r="D189" s="1">
        <f t="shared" si="10"/>
        <v>0.30588700000000024</v>
      </c>
      <c r="E189" s="1">
        <f t="shared" si="11"/>
        <v>7.9931300000000038E-2</v>
      </c>
      <c r="G189" s="1">
        <f t="shared" si="12"/>
        <v>0.97320471255993335</v>
      </c>
      <c r="H189" s="1">
        <f t="shared" si="13"/>
        <v>0.25430802172384498</v>
      </c>
    </row>
    <row r="190" spans="1:8" x14ac:dyDescent="0.2">
      <c r="A190" s="1">
        <v>3.4726240000000002</v>
      </c>
      <c r="B190" s="1">
        <v>0.72674859999999997</v>
      </c>
      <c r="D190" s="1">
        <f t="shared" si="10"/>
        <v>0.30713300000000032</v>
      </c>
      <c r="E190" s="1">
        <f t="shared" si="11"/>
        <v>8.4096300000000013E-2</v>
      </c>
      <c r="G190" s="1">
        <f t="shared" si="12"/>
        <v>0.97716896429946376</v>
      </c>
      <c r="H190" s="1">
        <f t="shared" si="13"/>
        <v>0.2675593126509262</v>
      </c>
    </row>
    <row r="191" spans="1:8" x14ac:dyDescent="0.2">
      <c r="A191" s="1">
        <v>3.4737420000000001</v>
      </c>
      <c r="B191" s="1">
        <v>0.73102529999999999</v>
      </c>
      <c r="D191" s="1">
        <f t="shared" si="10"/>
        <v>0.30825100000000027</v>
      </c>
      <c r="E191" s="1">
        <f t="shared" si="11"/>
        <v>8.8373000000000035E-2</v>
      </c>
      <c r="G191" s="1">
        <f t="shared" si="12"/>
        <v>0.98072597348469215</v>
      </c>
      <c r="H191" s="1">
        <f t="shared" si="13"/>
        <v>0.28116598633828488</v>
      </c>
    </row>
    <row r="192" spans="1:8" x14ac:dyDescent="0.2">
      <c r="A192" s="1">
        <v>3.474739</v>
      </c>
      <c r="B192" s="1">
        <v>0.73540249999999996</v>
      </c>
      <c r="D192" s="1">
        <f t="shared" si="10"/>
        <v>0.30924800000000019</v>
      </c>
      <c r="E192" s="1">
        <f t="shared" si="11"/>
        <v>9.2750200000000005E-2</v>
      </c>
      <c r="G192" s="1">
        <f t="shared" si="12"/>
        <v>0.98389801119280718</v>
      </c>
      <c r="H192" s="1">
        <f t="shared" si="13"/>
        <v>0.29509240906241935</v>
      </c>
    </row>
    <row r="193" spans="1:9" x14ac:dyDescent="0.2">
      <c r="A193" s="1">
        <v>3.4756239999999998</v>
      </c>
      <c r="B193" s="1">
        <v>0.73986929999999995</v>
      </c>
      <c r="D193" s="1">
        <f t="shared" si="10"/>
        <v>0.31013299999999999</v>
      </c>
      <c r="E193" s="1">
        <f t="shared" si="11"/>
        <v>9.7216999999999998E-2</v>
      </c>
      <c r="G193" s="1">
        <f t="shared" si="12"/>
        <v>0.98671371166590782</v>
      </c>
      <c r="H193" s="1">
        <f t="shared" si="13"/>
        <v>0.309303901574565</v>
      </c>
    </row>
    <row r="194" spans="1:9" x14ac:dyDescent="0.2">
      <c r="A194" s="1">
        <v>3.4764029999999999</v>
      </c>
      <c r="B194" s="1">
        <v>0.74441590000000002</v>
      </c>
      <c r="D194" s="1">
        <f t="shared" si="10"/>
        <v>0.31091200000000008</v>
      </c>
      <c r="E194" s="1">
        <f t="shared" si="11"/>
        <v>0.10176360000000007</v>
      </c>
      <c r="G194" s="1">
        <f t="shared" si="12"/>
        <v>0.98919216439872837</v>
      </c>
      <c r="H194" s="1">
        <f t="shared" si="13"/>
        <v>0.32376928436665831</v>
      </c>
    </row>
    <row r="195" spans="1:9" x14ac:dyDescent="0.2">
      <c r="A195" s="1">
        <v>3.4770880000000002</v>
      </c>
      <c r="B195" s="1">
        <v>0.74903330000000001</v>
      </c>
      <c r="D195" s="1">
        <f t="shared" si="10"/>
        <v>0.31159700000000035</v>
      </c>
      <c r="E195" s="1">
        <f t="shared" si="11"/>
        <v>0.10638100000000006</v>
      </c>
      <c r="G195" s="1">
        <f t="shared" si="12"/>
        <v>0.99137154838073416</v>
      </c>
      <c r="H195" s="1">
        <f t="shared" si="13"/>
        <v>0.33845992319659951</v>
      </c>
    </row>
    <row r="196" spans="1:9" x14ac:dyDescent="0.2">
      <c r="A196" s="1">
        <v>3.4776859999999998</v>
      </c>
      <c r="B196" s="1">
        <v>0.75371310000000002</v>
      </c>
      <c r="D196" s="1">
        <f t="shared" si="10"/>
        <v>0.312195</v>
      </c>
      <c r="E196" s="1">
        <f t="shared" si="11"/>
        <v>0.11106080000000007</v>
      </c>
      <c r="G196" s="1">
        <f t="shared" si="12"/>
        <v>0.99327413468911108</v>
      </c>
      <c r="H196" s="1">
        <f t="shared" si="13"/>
        <v>0.35334909277176285</v>
      </c>
    </row>
    <row r="197" spans="1:9" x14ac:dyDescent="0.2">
      <c r="A197" s="1">
        <v>3.478205</v>
      </c>
      <c r="B197" s="1">
        <v>0.7584476</v>
      </c>
      <c r="D197" s="1">
        <f t="shared" si="10"/>
        <v>0.31271400000000016</v>
      </c>
      <c r="E197" s="1">
        <f t="shared" si="11"/>
        <v>0.11579530000000005</v>
      </c>
      <c r="G197" s="1">
        <f t="shared" si="12"/>
        <v>0.99492537598350661</v>
      </c>
      <c r="H197" s="1">
        <f t="shared" si="13"/>
        <v>0.36841229490724092</v>
      </c>
    </row>
    <row r="198" spans="1:9" x14ac:dyDescent="0.2">
      <c r="A198" s="1">
        <v>3.4786510000000002</v>
      </c>
      <c r="B198" s="1">
        <v>0.76322999999999996</v>
      </c>
      <c r="D198" s="1">
        <f t="shared" si="10"/>
        <v>0.31316000000000033</v>
      </c>
      <c r="E198" s="1">
        <f t="shared" si="11"/>
        <v>0.12057770000000001</v>
      </c>
      <c r="G198" s="1">
        <f t="shared" si="12"/>
        <v>0.99634436175865204</v>
      </c>
      <c r="H198" s="1">
        <f t="shared" si="13"/>
        <v>0.3836278948423365</v>
      </c>
    </row>
    <row r="199" spans="1:9" x14ac:dyDescent="0.2">
      <c r="A199" s="1">
        <v>3.4790299999999998</v>
      </c>
      <c r="B199" s="1">
        <v>0.7680536</v>
      </c>
      <c r="D199" s="1">
        <f t="shared" si="10"/>
        <v>0.31353900000000001</v>
      </c>
      <c r="E199" s="1">
        <f t="shared" si="11"/>
        <v>0.12540130000000005</v>
      </c>
      <c r="G199" s="1">
        <f t="shared" si="12"/>
        <v>0.99755018150927854</v>
      </c>
      <c r="H199" s="1">
        <f t="shared" si="13"/>
        <v>0.39897457597459818</v>
      </c>
    </row>
    <row r="200" spans="1:9" x14ac:dyDescent="0.2">
      <c r="A200" s="1">
        <v>3.4793449999999999</v>
      </c>
      <c r="B200" s="1">
        <v>0.77291209999999999</v>
      </c>
      <c r="D200" s="1">
        <f t="shared" si="10"/>
        <v>0.31385400000000008</v>
      </c>
      <c r="E200" s="1">
        <f t="shared" si="11"/>
        <v>0.13025980000000004</v>
      </c>
      <c r="G200" s="1">
        <f t="shared" si="12"/>
        <v>0.99855237998275548</v>
      </c>
      <c r="H200" s="1">
        <f t="shared" si="13"/>
        <v>0.41443229433455603</v>
      </c>
    </row>
    <row r="201" spans="1:9" x14ac:dyDescent="0.2">
      <c r="A201" s="1">
        <v>3.4795950000000002</v>
      </c>
      <c r="B201" s="1">
        <v>0.77779969999999998</v>
      </c>
      <c r="D201" s="1">
        <f t="shared" si="10"/>
        <v>0.31410400000000038</v>
      </c>
      <c r="E201" s="1">
        <f t="shared" si="11"/>
        <v>0.13514740000000003</v>
      </c>
      <c r="G201" s="1">
        <f t="shared" si="12"/>
        <v>0.99934777559662691</v>
      </c>
      <c r="H201" s="1">
        <f t="shared" si="13"/>
        <v>0.42998259674396838</v>
      </c>
    </row>
    <row r="202" spans="1:9" x14ac:dyDescent="0.2">
      <c r="A202" s="1">
        <v>3.479778</v>
      </c>
      <c r="B202" s="1">
        <v>0.78271060000000003</v>
      </c>
      <c r="D202" s="1">
        <f t="shared" si="10"/>
        <v>0.31428700000000021</v>
      </c>
      <c r="E202" s="1">
        <f t="shared" si="11"/>
        <v>0.14005830000000008</v>
      </c>
      <c r="G202" s="1">
        <f t="shared" si="12"/>
        <v>0.99993000518597952</v>
      </c>
      <c r="H202" s="1">
        <f t="shared" si="13"/>
        <v>0.44560703002459362</v>
      </c>
    </row>
    <row r="203" spans="1:9" x14ac:dyDescent="0.2">
      <c r="A203" s="1">
        <v>3.4798849999999999</v>
      </c>
      <c r="B203" s="1">
        <v>0.78763899999999998</v>
      </c>
      <c r="D203" s="1">
        <f t="shared" si="10"/>
        <v>0.31439400000000006</v>
      </c>
      <c r="E203" s="1">
        <f t="shared" si="11"/>
        <v>0.14498670000000002</v>
      </c>
      <c r="G203" s="1">
        <f t="shared" si="12"/>
        <v>1.0002704345087157</v>
      </c>
      <c r="H203" s="1">
        <f t="shared" si="13"/>
        <v>0.46128714099818952</v>
      </c>
    </row>
    <row r="204" spans="1:9" x14ac:dyDescent="0.2">
      <c r="A204" s="1">
        <v>3.4798990000000001</v>
      </c>
      <c r="B204" s="1">
        <v>0.79257860000000002</v>
      </c>
      <c r="D204" s="1">
        <f t="shared" si="10"/>
        <v>0.31440800000000024</v>
      </c>
      <c r="E204" s="1">
        <f t="shared" si="11"/>
        <v>0.14992630000000007</v>
      </c>
      <c r="G204" s="1">
        <f t="shared" si="12"/>
        <v>1.000314976663093</v>
      </c>
      <c r="H204" s="1">
        <f t="shared" si="13"/>
        <v>0.47700288569528709</v>
      </c>
    </row>
    <row r="205" spans="1:9" x14ac:dyDescent="0.2">
      <c r="A205" s="1">
        <v>3.4798</v>
      </c>
      <c r="B205" s="1">
        <v>0.79752219999999996</v>
      </c>
      <c r="D205" s="2">
        <f t="shared" si="10"/>
        <v>0.31430900000000017</v>
      </c>
      <c r="E205" s="1">
        <f t="shared" si="11"/>
        <v>0.1548699</v>
      </c>
      <c r="G205" s="1">
        <f t="shared" si="12"/>
        <v>1</v>
      </c>
      <c r="H205" s="1">
        <f t="shared" si="13"/>
        <v>0.49273135672220625</v>
      </c>
    </row>
    <row r="206" spans="1:9" x14ac:dyDescent="0.2">
      <c r="A206" s="1" t="s">
        <v>4</v>
      </c>
      <c r="D206" s="1" t="s">
        <v>4</v>
      </c>
      <c r="G206" s="1" t="s">
        <v>4</v>
      </c>
    </row>
    <row r="207" spans="1:9" x14ac:dyDescent="0.2">
      <c r="A207" s="1" t="s">
        <v>0</v>
      </c>
      <c r="B207" s="1" t="s">
        <v>1</v>
      </c>
      <c r="D207" s="1" t="s">
        <v>6</v>
      </c>
      <c r="E207" s="1" t="s">
        <v>7</v>
      </c>
      <c r="G207" s="1" t="s">
        <v>6</v>
      </c>
      <c r="H207" s="1" t="s">
        <v>7</v>
      </c>
      <c r="I207" s="1" t="s">
        <v>15</v>
      </c>
    </row>
    <row r="208" spans="1:9" x14ac:dyDescent="0.2">
      <c r="A208" s="1">
        <v>3.397068</v>
      </c>
      <c r="B208" s="1">
        <v>0.62519290000000005</v>
      </c>
      <c r="D208" s="1">
        <f t="shared" ref="D208:D229" si="14">A208-$A$55</f>
        <v>0.23157700000000014</v>
      </c>
      <c r="E208" s="1">
        <f>B208-$B$55</f>
        <v>-1.7459399999999903E-2</v>
      </c>
      <c r="G208" s="1">
        <f t="shared" ref="G208" si="15">D208/$H$2</f>
        <v>0.73678132029308741</v>
      </c>
      <c r="H208" s="1">
        <f t="shared" ref="H208" si="16">E208/$H$2</f>
        <v>-5.5548520723236981E-2</v>
      </c>
      <c r="I208" s="1">
        <v>3</v>
      </c>
    </row>
    <row r="209" spans="1:9" x14ac:dyDescent="0.2">
      <c r="A209" s="1">
        <v>3.3170570000000001</v>
      </c>
      <c r="B209" s="1">
        <v>0.60484479999999996</v>
      </c>
      <c r="D209" s="1">
        <f t="shared" si="14"/>
        <v>0.15156600000000031</v>
      </c>
      <c r="E209" s="1">
        <f t="shared" ref="E209:E229" si="17">B209-$B$55</f>
        <v>-3.7807499999999994E-2</v>
      </c>
      <c r="G209" s="1">
        <f t="shared" ref="G209:G229" si="18">D209/$H$2</f>
        <v>0.48221972644754119</v>
      </c>
      <c r="H209" s="1">
        <f t="shared" ref="H209:H229" si="19">E209/$H$2</f>
        <v>-0.12028767868562457</v>
      </c>
      <c r="I209" s="1">
        <v>1</v>
      </c>
    </row>
    <row r="210" spans="1:9" x14ac:dyDescent="0.2">
      <c r="A210" s="1">
        <v>3.2770670000000002</v>
      </c>
      <c r="B210" s="1">
        <v>0.60365930000000001</v>
      </c>
      <c r="D210" s="1">
        <f t="shared" si="14"/>
        <v>0.11157600000000034</v>
      </c>
      <c r="E210" s="1">
        <f t="shared" si="17"/>
        <v>-3.8992999999999944E-2</v>
      </c>
      <c r="G210" s="1">
        <f t="shared" si="18"/>
        <v>0.35498824405282786</v>
      </c>
      <c r="H210" s="1">
        <f t="shared" si="19"/>
        <v>-0.12405944468659798</v>
      </c>
      <c r="I210" s="1">
        <v>16</v>
      </c>
    </row>
    <row r="211" spans="1:9" x14ac:dyDescent="0.2">
      <c r="A211" s="1">
        <v>3.2379509999999998</v>
      </c>
      <c r="B211" s="1">
        <v>0.60762570000000005</v>
      </c>
      <c r="D211" s="1">
        <f t="shared" si="14"/>
        <v>7.2459999999999969E-2</v>
      </c>
      <c r="E211" s="1">
        <f t="shared" si="17"/>
        <v>-3.5026599999999908E-2</v>
      </c>
      <c r="G211" s="1">
        <f t="shared" si="18"/>
        <v>0.23053746472420431</v>
      </c>
      <c r="H211" s="1">
        <f t="shared" si="19"/>
        <v>-0.11144001603517523</v>
      </c>
      <c r="I211" s="1">
        <v>15</v>
      </c>
    </row>
    <row r="212" spans="1:9" x14ac:dyDescent="0.2">
      <c r="A212" s="1">
        <v>3.2071040000000002</v>
      </c>
      <c r="B212" s="1">
        <v>0.61437310000000001</v>
      </c>
      <c r="D212" s="1">
        <f t="shared" si="14"/>
        <v>4.1613000000000344E-2</v>
      </c>
      <c r="E212" s="1">
        <f t="shared" si="17"/>
        <v>-2.8279199999999949E-2</v>
      </c>
      <c r="G212" s="1">
        <f t="shared" si="18"/>
        <v>0.13239519071996131</v>
      </c>
      <c r="H212" s="1">
        <f t="shared" si="19"/>
        <v>-8.9972606575058095E-2</v>
      </c>
      <c r="I212" s="1">
        <v>14</v>
      </c>
    </row>
    <row r="213" spans="1:9" x14ac:dyDescent="0.2">
      <c r="A213" s="1">
        <v>3.187141</v>
      </c>
      <c r="B213" s="1">
        <v>0.62179519999999999</v>
      </c>
      <c r="D213" s="1">
        <f t="shared" si="14"/>
        <v>2.1650000000000169E-2</v>
      </c>
      <c r="E213" s="1">
        <f t="shared" si="17"/>
        <v>-2.0857099999999962E-2</v>
      </c>
      <c r="G213" s="1">
        <f t="shared" si="18"/>
        <v>6.8881260161179472E-2</v>
      </c>
      <c r="H213" s="1">
        <f t="shared" si="19"/>
        <v>-6.6358583432227364E-2</v>
      </c>
      <c r="I213" s="1">
        <v>13</v>
      </c>
    </row>
    <row r="214" spans="1:9" x14ac:dyDescent="0.2">
      <c r="A214" s="1">
        <v>3.1771799999999999</v>
      </c>
      <c r="B214" s="1">
        <v>0.62736820000000004</v>
      </c>
      <c r="D214" s="1">
        <f t="shared" si="14"/>
        <v>1.168900000000006E-2</v>
      </c>
      <c r="E214" s="1">
        <f t="shared" si="17"/>
        <v>-1.5284099999999912E-2</v>
      </c>
      <c r="G214" s="1">
        <f t="shared" si="18"/>
        <v>3.7189517322125852E-2</v>
      </c>
      <c r="H214" s="1">
        <f t="shared" si="19"/>
        <v>-4.8627624407827655E-2</v>
      </c>
      <c r="I214" s="1">
        <v>8</v>
      </c>
    </row>
    <row r="215" spans="1:9" x14ac:dyDescent="0.2">
      <c r="A215" s="1">
        <v>3.1748319999999999</v>
      </c>
      <c r="B215" s="1">
        <v>0.62910719999999998</v>
      </c>
      <c r="D215" s="1">
        <f t="shared" si="14"/>
        <v>9.3410000000000437E-3</v>
      </c>
      <c r="E215" s="1">
        <f t="shared" si="17"/>
        <v>-1.3545099999999977E-2</v>
      </c>
      <c r="G215" s="1">
        <f t="shared" si="18"/>
        <v>2.9719161716654754E-2</v>
      </c>
      <c r="H215" s="1">
        <f t="shared" si="19"/>
        <v>-4.3094852517745176E-2</v>
      </c>
      <c r="I215" s="1">
        <v>12</v>
      </c>
    </row>
    <row r="216" spans="1:9" x14ac:dyDescent="0.2">
      <c r="A216" s="1">
        <v>3.1718060000000001</v>
      </c>
      <c r="B216" s="1">
        <v>0.63174889999999995</v>
      </c>
      <c r="D216" s="1">
        <f t="shared" si="14"/>
        <v>6.3150000000002926E-3</v>
      </c>
      <c r="E216" s="1">
        <f t="shared" si="17"/>
        <v>-1.0903400000000008E-2</v>
      </c>
      <c r="G216" s="1">
        <f t="shared" si="18"/>
        <v>2.0091693206367903E-2</v>
      </c>
      <c r="H216" s="1">
        <f t="shared" si="19"/>
        <v>-3.4690066145099258E-2</v>
      </c>
      <c r="I216" s="1">
        <v>7</v>
      </c>
    </row>
    <row r="217" spans="1:9" x14ac:dyDescent="0.2">
      <c r="A217" s="1">
        <v>3.1682790000000001</v>
      </c>
      <c r="B217" s="1">
        <v>0.63549480000000003</v>
      </c>
      <c r="D217" s="1">
        <f t="shared" si="14"/>
        <v>2.7880000000002347E-3</v>
      </c>
      <c r="E217" s="1">
        <f t="shared" si="17"/>
        <v>-7.1574999999999278E-3</v>
      </c>
      <c r="G217" s="1">
        <f t="shared" si="18"/>
        <v>8.8702518858837422E-3</v>
      </c>
      <c r="H217" s="1">
        <f t="shared" si="19"/>
        <v>-2.2772176425110081E-2</v>
      </c>
      <c r="I217" s="1">
        <v>11</v>
      </c>
    </row>
    <row r="218" spans="1:9" x14ac:dyDescent="0.2">
      <c r="A218" s="1">
        <v>3.1654969999999998</v>
      </c>
      <c r="B218" s="1">
        <v>0.64231990000000005</v>
      </c>
      <c r="D218" s="1">
        <f t="shared" si="14"/>
        <v>5.9999999999504894E-6</v>
      </c>
      <c r="E218" s="1">
        <f t="shared" si="17"/>
        <v>-3.3239999999989944E-4</v>
      </c>
      <c r="G218" s="1">
        <f t="shared" si="18"/>
        <v>1.9089494732732713E-5</v>
      </c>
      <c r="H218" s="1">
        <f t="shared" si="19"/>
        <v>-1.0575580082017992E-3</v>
      </c>
      <c r="I218" s="1">
        <v>9</v>
      </c>
    </row>
    <row r="219" spans="1:9" x14ac:dyDescent="0.2">
      <c r="A219" s="1">
        <v>3.171055</v>
      </c>
      <c r="B219" s="1">
        <v>0.64996109999999996</v>
      </c>
      <c r="D219" s="1">
        <f t="shared" si="14"/>
        <v>5.5640000000001244E-3</v>
      </c>
      <c r="E219" s="1">
        <f t="shared" si="17"/>
        <v>7.3088000000000042E-3</v>
      </c>
      <c r="G219" s="1">
        <f t="shared" si="18"/>
        <v>1.7702324782300608E-2</v>
      </c>
      <c r="H219" s="1">
        <f t="shared" si="19"/>
        <v>2.3253549850624704E-2</v>
      </c>
      <c r="I219" s="1">
        <v>6</v>
      </c>
    </row>
    <row r="220" spans="1:9" x14ac:dyDescent="0.2">
      <c r="A220" s="1">
        <v>3.1740569999999999</v>
      </c>
      <c r="B220" s="1">
        <v>0.65057929999999997</v>
      </c>
      <c r="D220" s="1">
        <f t="shared" si="14"/>
        <v>8.5660000000000736E-3</v>
      </c>
      <c r="E220" s="1">
        <f t="shared" si="17"/>
        <v>7.9270000000000174E-3</v>
      </c>
      <c r="G220" s="1">
        <f t="shared" si="18"/>
        <v>2.7253435313656524E-2</v>
      </c>
      <c r="H220" s="1">
        <f t="shared" si="19"/>
        <v>2.5220404124603538E-2</v>
      </c>
      <c r="I220" s="1">
        <v>24</v>
      </c>
    </row>
    <row r="221" spans="1:9" x14ac:dyDescent="0.2">
      <c r="A221" s="1">
        <v>3.177073</v>
      </c>
      <c r="B221" s="1">
        <v>0.65056539999999996</v>
      </c>
      <c r="D221" s="1">
        <f t="shared" si="14"/>
        <v>1.1582000000000203E-2</v>
      </c>
      <c r="E221" s="1">
        <f t="shared" si="17"/>
        <v>7.9131000000000062E-3</v>
      </c>
      <c r="G221" s="1">
        <f t="shared" si="18"/>
        <v>3.6849087999389761E-2</v>
      </c>
      <c r="H221" s="1">
        <f t="shared" si="19"/>
        <v>2.5176180128472305E-2</v>
      </c>
      <c r="I221" s="1">
        <v>5</v>
      </c>
    </row>
    <row r="222" spans="1:9" x14ac:dyDescent="0.2">
      <c r="A222" s="1">
        <v>3.1800839999999999</v>
      </c>
      <c r="B222" s="1">
        <v>0.65018339999999997</v>
      </c>
      <c r="D222" s="1">
        <f t="shared" si="14"/>
        <v>1.4593000000000078E-2</v>
      </c>
      <c r="E222" s="1">
        <f t="shared" si="17"/>
        <v>7.5311000000000128E-3</v>
      </c>
      <c r="G222" s="1">
        <f t="shared" si="18"/>
        <v>4.6428832772844777E-2</v>
      </c>
      <c r="H222" s="1">
        <f t="shared" si="19"/>
        <v>2.3960815630478315E-2</v>
      </c>
      <c r="I222" s="1">
        <v>23</v>
      </c>
    </row>
    <row r="223" spans="1:9" x14ac:dyDescent="0.2">
      <c r="A223" s="1">
        <v>3.186096</v>
      </c>
      <c r="B223" s="1">
        <v>0.6489916</v>
      </c>
      <c r="D223" s="1">
        <f t="shared" si="14"/>
        <v>2.0605000000000206E-2</v>
      </c>
      <c r="E223" s="1">
        <f t="shared" si="17"/>
        <v>6.3393000000000477E-3</v>
      </c>
      <c r="G223" s="1">
        <f t="shared" si="18"/>
        <v>6.55565064952012E-2</v>
      </c>
      <c r="H223" s="1">
        <f t="shared" si="19"/>
        <v>2.0169005660035329E-2</v>
      </c>
      <c r="I223" s="1">
        <v>22</v>
      </c>
    </row>
    <row r="224" spans="1:9" x14ac:dyDescent="0.2">
      <c r="A224" s="1">
        <v>3.192949</v>
      </c>
      <c r="B224" s="1">
        <v>0.64723379999999997</v>
      </c>
      <c r="D224" s="1">
        <f t="shared" si="14"/>
        <v>2.7458000000000204E-2</v>
      </c>
      <c r="E224" s="1">
        <f t="shared" si="17"/>
        <v>4.5815000000000161E-3</v>
      </c>
      <c r="G224" s="1">
        <f t="shared" si="18"/>
        <v>8.7359891062617323E-2</v>
      </c>
      <c r="H224" s="1">
        <f t="shared" si="19"/>
        <v>1.4576420019789486E-2</v>
      </c>
      <c r="I224" s="1">
        <v>21</v>
      </c>
    </row>
    <row r="225" spans="1:9" x14ac:dyDescent="0.2">
      <c r="A225" s="1">
        <v>3.2150979999999998</v>
      </c>
      <c r="B225" s="1">
        <v>0.64142790000000005</v>
      </c>
      <c r="D225" s="1">
        <f t="shared" si="14"/>
        <v>4.9606999999999957E-2</v>
      </c>
      <c r="E225" s="1">
        <f t="shared" si="17"/>
        <v>-1.2243999999999033E-3</v>
      </c>
      <c r="G225" s="1">
        <f t="shared" si="18"/>
        <v>0.15782876086908085</v>
      </c>
      <c r="H225" s="1">
        <f t="shared" si="19"/>
        <v>-3.8955295584914931E-3</v>
      </c>
      <c r="I225" s="1">
        <v>20</v>
      </c>
    </row>
    <row r="226" spans="1:9" x14ac:dyDescent="0.2">
      <c r="A226" s="1">
        <v>3.2550819999999998</v>
      </c>
      <c r="B226" s="1">
        <v>0.63367640000000003</v>
      </c>
      <c r="D226" s="1">
        <f t="shared" si="14"/>
        <v>8.9590999999999976E-2</v>
      </c>
      <c r="E226" s="1">
        <f t="shared" si="17"/>
        <v>-8.9758999999999256E-3</v>
      </c>
      <c r="G226" s="1">
        <f t="shared" si="18"/>
        <v>0.28504115376906142</v>
      </c>
      <c r="H226" s="1">
        <f t="shared" si="19"/>
        <v>-2.8557565962158006E-2</v>
      </c>
      <c r="I226" s="1">
        <v>19</v>
      </c>
    </row>
    <row r="227" spans="1:9" x14ac:dyDescent="0.2">
      <c r="A227" s="1">
        <v>3.2950740000000001</v>
      </c>
      <c r="B227" s="1">
        <v>0.62906280000000003</v>
      </c>
      <c r="D227" s="1">
        <f t="shared" si="14"/>
        <v>0.12958300000000023</v>
      </c>
      <c r="E227" s="1">
        <f t="shared" si="17"/>
        <v>-1.3589499999999921E-2</v>
      </c>
      <c r="G227" s="1">
        <f t="shared" si="18"/>
        <v>0.41227899932868661</v>
      </c>
      <c r="H227" s="1">
        <f t="shared" si="19"/>
        <v>-4.3236114778768389E-2</v>
      </c>
      <c r="I227" s="1">
        <v>18</v>
      </c>
    </row>
    <row r="228" spans="1:9" x14ac:dyDescent="0.2">
      <c r="A228" s="1">
        <v>3.335064</v>
      </c>
      <c r="B228" s="1">
        <v>0.62728110000000004</v>
      </c>
      <c r="D228" s="1">
        <f t="shared" si="14"/>
        <v>0.1695730000000002</v>
      </c>
      <c r="E228" s="1">
        <f t="shared" si="17"/>
        <v>-1.5371199999999918E-2</v>
      </c>
      <c r="G228" s="1">
        <f t="shared" si="18"/>
        <v>0.53951048172339988</v>
      </c>
      <c r="H228" s="1">
        <f t="shared" si="19"/>
        <v>-4.8904740239700137E-2</v>
      </c>
      <c r="I228" s="1">
        <v>17</v>
      </c>
    </row>
    <row r="229" spans="1:9" x14ac:dyDescent="0.2">
      <c r="A229" s="1">
        <v>3.3750550000000001</v>
      </c>
      <c r="B229" s="1">
        <v>0.63029619999999997</v>
      </c>
      <c r="D229" s="1">
        <f t="shared" si="14"/>
        <v>0.20956400000000031</v>
      </c>
      <c r="E229" s="1">
        <f t="shared" si="17"/>
        <v>-1.2356099999999981E-2</v>
      </c>
      <c r="G229" s="1">
        <f t="shared" si="18"/>
        <v>0.6667451457005692</v>
      </c>
      <c r="H229" s="1">
        <f t="shared" si="19"/>
        <v>-3.9311950978177447E-2</v>
      </c>
      <c r="I229" s="1">
        <v>2</v>
      </c>
    </row>
    <row r="230" spans="1:9" x14ac:dyDescent="0.2">
      <c r="A230" s="1" t="s">
        <v>5</v>
      </c>
      <c r="D230" s="1" t="s">
        <v>5</v>
      </c>
      <c r="G230" s="1" t="s">
        <v>5</v>
      </c>
    </row>
    <row r="231" spans="1:9" x14ac:dyDescent="0.2">
      <c r="A231" s="1" t="s">
        <v>0</v>
      </c>
      <c r="B231" s="1" t="s">
        <v>1</v>
      </c>
      <c r="D231" s="1" t="s">
        <v>6</v>
      </c>
      <c r="E231" s="1" t="s">
        <v>7</v>
      </c>
      <c r="G231" s="1" t="s">
        <v>6</v>
      </c>
      <c r="H231" s="1" t="s">
        <v>7</v>
      </c>
    </row>
    <row r="232" spans="1:9" x14ac:dyDescent="0.2">
      <c r="A232" s="1">
        <v>3.4782639999999998</v>
      </c>
      <c r="B232" s="1">
        <v>0.75904020000000005</v>
      </c>
      <c r="D232" s="1">
        <f t="shared" ref="D232:D239" si="20">A232-$A$55</f>
        <v>0.31277299999999997</v>
      </c>
      <c r="E232" s="1">
        <f>B232-$B$55</f>
        <v>0.1163879000000001</v>
      </c>
      <c r="G232" s="1">
        <f t="shared" ref="G232" si="21">D232/$H$2</f>
        <v>0.9951130893483795</v>
      </c>
      <c r="H232" s="1">
        <f t="shared" ref="H232" si="22">E232/$H$2</f>
        <v>0.37029770067035955</v>
      </c>
      <c r="I232" s="1">
        <v>25</v>
      </c>
    </row>
    <row r="233" spans="1:9" x14ac:dyDescent="0.2">
      <c r="A233" s="1">
        <v>3.4731839999999998</v>
      </c>
      <c r="B233" s="1">
        <v>0.72881910000000005</v>
      </c>
      <c r="D233" s="1">
        <f t="shared" si="20"/>
        <v>0.30769299999999999</v>
      </c>
      <c r="E233" s="1">
        <f t="shared" ref="E233:E239" si="23">B233-$B$55</f>
        <v>8.6166800000000099E-2</v>
      </c>
      <c r="G233" s="1">
        <f t="shared" ref="G233:G239" si="24">D233/$H$2</f>
        <v>0.97895065047453245</v>
      </c>
      <c r="H233" s="1">
        <f t="shared" ref="H233:H239" si="25">E233/$H$2</f>
        <v>0.27414677912500135</v>
      </c>
      <c r="I233" s="1">
        <v>26</v>
      </c>
    </row>
    <row r="234" spans="1:9" x14ac:dyDescent="0.2">
      <c r="A234" s="1">
        <v>3.4630510000000001</v>
      </c>
      <c r="B234" s="1">
        <v>0.70380540000000003</v>
      </c>
      <c r="D234" s="1">
        <f t="shared" si="20"/>
        <v>0.29756000000000027</v>
      </c>
      <c r="E234" s="1">
        <f t="shared" si="23"/>
        <v>6.1153100000000071E-2</v>
      </c>
      <c r="G234" s="1">
        <f t="shared" si="24"/>
        <v>0.94671167545313717</v>
      </c>
      <c r="H234" s="1">
        <f t="shared" si="25"/>
        <v>0.19456363005831853</v>
      </c>
      <c r="I234" s="1">
        <v>28</v>
      </c>
    </row>
    <row r="235" spans="1:9" x14ac:dyDescent="0.2">
      <c r="A235" s="1">
        <v>3.4479190000000002</v>
      </c>
      <c r="B235" s="1">
        <v>0.68737939999999997</v>
      </c>
      <c r="D235" s="1">
        <f t="shared" si="20"/>
        <v>0.28242800000000035</v>
      </c>
      <c r="E235" s="1">
        <f t="shared" si="23"/>
        <v>4.472710000000002E-2</v>
      </c>
      <c r="G235" s="1">
        <f t="shared" si="24"/>
        <v>0.89856796973678832</v>
      </c>
      <c r="H235" s="1">
        <f t="shared" si="25"/>
        <v>0.14230295664457587</v>
      </c>
      <c r="I235" s="1">
        <v>29</v>
      </c>
    </row>
    <row r="236" spans="1:9" x14ac:dyDescent="0.2">
      <c r="A236" s="1">
        <v>3.427918</v>
      </c>
      <c r="B236" s="1">
        <v>0.68262800000000001</v>
      </c>
      <c r="D236" s="1">
        <f t="shared" si="20"/>
        <v>0.26242700000000019</v>
      </c>
      <c r="E236" s="1">
        <f t="shared" si="23"/>
        <v>3.9975700000000058E-2</v>
      </c>
      <c r="G236" s="1">
        <f t="shared" si="24"/>
        <v>0.83493313904469824</v>
      </c>
      <c r="H236" s="1">
        <f t="shared" si="25"/>
        <v>0.12718598576560022</v>
      </c>
      <c r="I236" s="1">
        <v>31</v>
      </c>
    </row>
    <row r="237" spans="1:9" x14ac:dyDescent="0.2">
      <c r="A237" s="1">
        <v>3.4183180000000002</v>
      </c>
      <c r="B237" s="1">
        <v>0.69188349999999998</v>
      </c>
      <c r="D237" s="1">
        <f t="shared" si="20"/>
        <v>0.25282700000000036</v>
      </c>
      <c r="E237" s="1">
        <f t="shared" si="23"/>
        <v>4.923120000000003E-2</v>
      </c>
      <c r="G237" s="1">
        <f t="shared" si="24"/>
        <v>0.80438994747207437</v>
      </c>
      <c r="H237" s="1">
        <f t="shared" si="25"/>
        <v>0.15663312218231104</v>
      </c>
      <c r="I237" s="1">
        <v>32</v>
      </c>
    </row>
    <row r="238" spans="1:9" x14ac:dyDescent="0.2">
      <c r="A238" s="1">
        <v>3.427918</v>
      </c>
      <c r="B238" s="1">
        <v>0.70350029999999997</v>
      </c>
      <c r="D238" s="1">
        <f t="shared" si="20"/>
        <v>0.26242700000000019</v>
      </c>
      <c r="E238" s="1">
        <f t="shared" si="23"/>
        <v>6.0848000000000013E-2</v>
      </c>
      <c r="G238" s="1">
        <f t="shared" si="24"/>
        <v>0.83493313904469824</v>
      </c>
      <c r="H238" s="1">
        <f t="shared" si="25"/>
        <v>0.19359292925115087</v>
      </c>
      <c r="I238" s="1">
        <v>30</v>
      </c>
    </row>
    <row r="239" spans="1:9" x14ac:dyDescent="0.2">
      <c r="A239" s="1">
        <v>3.4485459999999999</v>
      </c>
      <c r="B239" s="1">
        <v>0.72058929999999999</v>
      </c>
      <c r="D239" s="1">
        <f t="shared" si="20"/>
        <v>0.28305500000000006</v>
      </c>
      <c r="E239" s="1">
        <f t="shared" si="23"/>
        <v>7.7937000000000034E-2</v>
      </c>
      <c r="G239" s="1">
        <f t="shared" si="24"/>
        <v>0.90056282193637438</v>
      </c>
      <c r="H239" s="1">
        <f t="shared" si="25"/>
        <v>0.24796299183287782</v>
      </c>
      <c r="I239" s="1">
        <v>27</v>
      </c>
    </row>
  </sheetData>
  <sortState ref="P232:Q239">
    <sortCondition ref="P232:P239"/>
  </sortState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Pressure_Station</vt:lpstr>
      <vt:lpstr>Pressure_Station!Print_Area</vt:lpstr>
    </vt:vector>
  </TitlesOfParts>
  <Company>University of Surrey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Doherty JJ Mr (Mech, Med &amp; Aero Eng)</dc:creator>
  <cp:lastModifiedBy>Dr Paul Nathan</cp:lastModifiedBy>
  <cp:lastPrinted>2016-03-14T04:09:23Z</cp:lastPrinted>
  <dcterms:created xsi:type="dcterms:W3CDTF">2016-02-08T18:30:32Z</dcterms:created>
  <dcterms:modified xsi:type="dcterms:W3CDTF">2016-03-14T04:09:24Z</dcterms:modified>
</cp:coreProperties>
</file>